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Owner\Desktop\Portfolio\portfolio-v2\public\"/>
    </mc:Choice>
  </mc:AlternateContent>
  <xr:revisionPtr revIDLastSave="0" documentId="13_ncr:1_{090836A6-8EA2-494B-81B1-AD54DBEFFB10}" xr6:coauthVersionLast="47" xr6:coauthVersionMax="47" xr10:uidLastSave="{00000000-0000-0000-0000-000000000000}"/>
  <bookViews>
    <workbookView xWindow="-108" yWindow="-108" windowWidth="23256" windowHeight="12456" firstSheet="1" activeTab="4" xr2:uid="{00000000-000D-0000-FFFF-FFFF00000000}"/>
  </bookViews>
  <sheets>
    <sheet name="DASHBOARD" sheetId="1" state="hidden" r:id="rId1"/>
    <sheet name="HOW TO USE" sheetId="7" r:id="rId2"/>
    <sheet name="TRAINING SPECS" sheetId="2" r:id="rId3"/>
    <sheet name="PLAN" sheetId="3" r:id="rId4"/>
    <sheet name="DATA" sheetId="4" r:id="rId5"/>
    <sheet name="GOAL TRACKING" sheetId="5" r:id="rId6"/>
    <sheet name="VISUALS" sheetId="6" r:id="rId7"/>
  </sheets>
  <definedNames>
    <definedName name="_xleta.T" hidden="1" xlm="1">#NAME?</definedName>
    <definedName name="ActivityLog">DATA!$A$11:$K$105</definedName>
    <definedName name="Milestones">Table3[]</definedName>
    <definedName name="PaceWithData">OFFSET(VISUALS!$V$17,0,0,COUNTA(VISUALS!$V$17:$V$28),1)</definedName>
    <definedName name="WeeksWithData">OFFSET(VISUALS!$U$17,0,0,COUNTA(VISUALS!$U$17:$U$28),1)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9" i="2" l="1"/>
  <c r="G24" i="2"/>
  <c r="I16" i="2"/>
  <c r="H16" i="2"/>
  <c r="G16" i="2"/>
  <c r="G18" i="2" s="1"/>
  <c r="B4" i="1"/>
  <c r="D4" i="1" s="1"/>
  <c r="W41" i="6"/>
  <c r="W42" i="6"/>
  <c r="W43" i="6"/>
  <c r="W44" i="6"/>
  <c r="W45" i="6"/>
  <c r="W46" i="6"/>
  <c r="W47" i="6"/>
  <c r="W48" i="6"/>
  <c r="W49" i="6"/>
  <c r="W40" i="6"/>
  <c r="R41" i="6"/>
  <c r="S41" i="6" s="1"/>
  <c r="R42" i="6"/>
  <c r="S42" i="6" s="1"/>
  <c r="R43" i="6"/>
  <c r="S43" i="6" s="1"/>
  <c r="R44" i="6"/>
  <c r="S44" i="6" s="1"/>
  <c r="R45" i="6"/>
  <c r="S45" i="6" s="1"/>
  <c r="R46" i="6"/>
  <c r="S46" i="6" s="1"/>
  <c r="R47" i="6"/>
  <c r="S47" i="6" s="1"/>
  <c r="R48" i="6"/>
  <c r="S48" i="6" s="1"/>
  <c r="R49" i="6"/>
  <c r="S49" i="6" s="1"/>
  <c r="R50" i="6"/>
  <c r="S50" i="6" s="1"/>
  <c r="R51" i="6"/>
  <c r="S51" i="6" s="1"/>
  <c r="R40" i="6"/>
  <c r="S40" i="6" s="1"/>
  <c r="S32" i="6"/>
  <c r="S33" i="6"/>
  <c r="S34" i="6"/>
  <c r="S35" i="6"/>
  <c r="S36" i="6"/>
  <c r="S31" i="6"/>
  <c r="R32" i="6"/>
  <c r="R33" i="6"/>
  <c r="R34" i="6"/>
  <c r="R35" i="6"/>
  <c r="R36" i="6"/>
  <c r="R31" i="6"/>
  <c r="R18" i="6"/>
  <c r="S18" i="6" s="1"/>
  <c r="R19" i="6"/>
  <c r="S19" i="6" s="1"/>
  <c r="R20" i="6"/>
  <c r="S20" i="6" s="1"/>
  <c r="R21" i="6"/>
  <c r="S21" i="6" s="1"/>
  <c r="R22" i="6"/>
  <c r="S22" i="6" s="1"/>
  <c r="R23" i="6"/>
  <c r="S23" i="6" s="1"/>
  <c r="R24" i="6"/>
  <c r="S24" i="6" s="1"/>
  <c r="R25" i="6"/>
  <c r="S25" i="6" s="1"/>
  <c r="R26" i="6"/>
  <c r="S26" i="6" s="1"/>
  <c r="R27" i="6"/>
  <c r="S27" i="6" s="1"/>
  <c r="R28" i="6"/>
  <c r="S28" i="6" s="1"/>
  <c r="R17" i="6"/>
  <c r="S17" i="6" s="1"/>
  <c r="W3" i="6"/>
  <c r="W4" i="6"/>
  <c r="W5" i="6"/>
  <c r="W6" i="6"/>
  <c r="W7" i="6"/>
  <c r="W8" i="6"/>
  <c r="W9" i="6"/>
  <c r="W2" i="6"/>
  <c r="R3" i="6"/>
  <c r="S3" i="6" s="1"/>
  <c r="R4" i="6"/>
  <c r="S4" i="6" s="1"/>
  <c r="R5" i="6"/>
  <c r="S5" i="6" s="1"/>
  <c r="R6" i="6"/>
  <c r="S6" i="6" s="1"/>
  <c r="R7" i="6"/>
  <c r="S7" i="6" s="1"/>
  <c r="R8" i="6"/>
  <c r="S8" i="6" s="1"/>
  <c r="R9" i="6"/>
  <c r="S9" i="6" s="1"/>
  <c r="R10" i="6"/>
  <c r="S10" i="6" s="1"/>
  <c r="R11" i="6"/>
  <c r="S11" i="6" s="1"/>
  <c r="R12" i="6"/>
  <c r="S12" i="6" s="1"/>
  <c r="R13" i="6"/>
  <c r="S13" i="6" s="1"/>
  <c r="R2" i="6"/>
  <c r="S2" i="6" s="1"/>
  <c r="H30" i="2" l="1"/>
  <c r="B5" i="1"/>
  <c r="V17" i="6" a="1"/>
  <c r="V17" i="6" s="1"/>
  <c r="U17" i="6" a="1"/>
  <c r="U17" i="6" s="1"/>
  <c r="T6" i="6"/>
  <c r="T5" i="6"/>
  <c r="T13" i="6"/>
  <c r="T12" i="6"/>
  <c r="T11" i="6"/>
  <c r="T10" i="6"/>
  <c r="T9" i="6"/>
  <c r="T8" i="6"/>
  <c r="T7" i="6"/>
  <c r="T4" i="6"/>
  <c r="T3" i="6"/>
  <c r="T2" i="6"/>
  <c r="C158" i="3"/>
  <c r="C159" i="3"/>
  <c r="C160" i="3"/>
  <c r="C161" i="3"/>
  <c r="C162" i="3"/>
  <c r="C163" i="3"/>
  <c r="C157" i="3"/>
  <c r="C150" i="3"/>
  <c r="C151" i="3"/>
  <c r="C152" i="3"/>
  <c r="C153" i="3"/>
  <c r="C154" i="3"/>
  <c r="C155" i="3"/>
  <c r="C149" i="3"/>
  <c r="C142" i="3"/>
  <c r="C143" i="3"/>
  <c r="C144" i="3"/>
  <c r="C145" i="3"/>
  <c r="C146" i="3"/>
  <c r="C147" i="3"/>
  <c r="C141" i="3"/>
  <c r="C134" i="3"/>
  <c r="C135" i="3"/>
  <c r="C136" i="3"/>
  <c r="C137" i="3"/>
  <c r="C138" i="3"/>
  <c r="C139" i="3"/>
  <c r="C133" i="3"/>
  <c r="C126" i="3"/>
  <c r="C127" i="3"/>
  <c r="C128" i="3"/>
  <c r="C129" i="3"/>
  <c r="C130" i="3"/>
  <c r="C131" i="3"/>
  <c r="C125" i="3"/>
  <c r="C118" i="3"/>
  <c r="C119" i="3"/>
  <c r="C120" i="3"/>
  <c r="C121" i="3"/>
  <c r="C122" i="3"/>
  <c r="C123" i="3"/>
  <c r="C117" i="3"/>
  <c r="C110" i="3"/>
  <c r="C111" i="3"/>
  <c r="C112" i="3"/>
  <c r="C113" i="3"/>
  <c r="C114" i="3"/>
  <c r="C115" i="3"/>
  <c r="C109" i="3"/>
  <c r="C102" i="3"/>
  <c r="C103" i="3"/>
  <c r="C104" i="3"/>
  <c r="C105" i="3"/>
  <c r="C106" i="3"/>
  <c r="C107" i="3"/>
  <c r="C101" i="3"/>
  <c r="C94" i="3"/>
  <c r="C95" i="3"/>
  <c r="C96" i="3"/>
  <c r="C97" i="3"/>
  <c r="C98" i="3"/>
  <c r="C99" i="3"/>
  <c r="C93" i="3"/>
  <c r="C86" i="3"/>
  <c r="C87" i="3"/>
  <c r="C88" i="3"/>
  <c r="C89" i="3"/>
  <c r="C90" i="3"/>
  <c r="C91" i="3"/>
  <c r="C85" i="3"/>
  <c r="C78" i="3"/>
  <c r="C79" i="3"/>
  <c r="C80" i="3"/>
  <c r="C81" i="3"/>
  <c r="C82" i="3"/>
  <c r="C83" i="3"/>
  <c r="C77" i="3"/>
  <c r="C70" i="3"/>
  <c r="C71" i="3"/>
  <c r="C72" i="3"/>
  <c r="C73" i="3"/>
  <c r="C74" i="3"/>
  <c r="C75" i="3"/>
  <c r="C69" i="3"/>
  <c r="C62" i="3"/>
  <c r="C63" i="3"/>
  <c r="C64" i="3"/>
  <c r="C65" i="3"/>
  <c r="C66" i="3"/>
  <c r="C67" i="3"/>
  <c r="C61" i="3"/>
  <c r="C54" i="3"/>
  <c r="C55" i="3"/>
  <c r="C56" i="3"/>
  <c r="C57" i="3"/>
  <c r="C58" i="3"/>
  <c r="C59" i="3"/>
  <c r="C53" i="3"/>
  <c r="C46" i="3"/>
  <c r="C47" i="3"/>
  <c r="C48" i="3"/>
  <c r="C49" i="3"/>
  <c r="C50" i="3"/>
  <c r="C51" i="3"/>
  <c r="C45" i="3"/>
  <c r="C38" i="3"/>
  <c r="C39" i="3"/>
  <c r="C40" i="3"/>
  <c r="C41" i="3"/>
  <c r="C42" i="3"/>
  <c r="C43" i="3"/>
  <c r="C37" i="3"/>
  <c r="C30" i="3"/>
  <c r="C31" i="3"/>
  <c r="C32" i="3"/>
  <c r="C33" i="3"/>
  <c r="C34" i="3"/>
  <c r="C35" i="3"/>
  <c r="C29" i="3"/>
  <c r="C22" i="3"/>
  <c r="C23" i="3"/>
  <c r="C24" i="3"/>
  <c r="C25" i="3"/>
  <c r="C26" i="3"/>
  <c r="C27" i="3"/>
  <c r="C21" i="3"/>
  <c r="C14" i="3"/>
  <c r="C15" i="3"/>
  <c r="C16" i="3"/>
  <c r="C17" i="3"/>
  <c r="C18" i="3"/>
  <c r="C19" i="3"/>
  <c r="C13" i="3"/>
  <c r="C7" i="3"/>
  <c r="C8" i="3"/>
  <c r="C9" i="3"/>
  <c r="C10" i="3"/>
  <c r="C11" i="3"/>
  <c r="C6" i="3"/>
  <c r="C5" i="3"/>
  <c r="A1" i="3"/>
  <c r="C14" i="2" l="1"/>
  <c r="H31" i="2"/>
  <c r="H32"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<sst xmlns="http://schemas.openxmlformats.org/spreadsheetml/2006/main" count="316" uniqueCount="184">
  <si>
    <t>RACE TRAINING SPECIFICATIONS</t>
  </si>
  <si>
    <t>Race Name</t>
  </si>
  <si>
    <t>Race Date</t>
  </si>
  <si>
    <t>Distance/Mileage</t>
  </si>
  <si>
    <t>Location</t>
  </si>
  <si>
    <t>Environment Type</t>
  </si>
  <si>
    <t>Race Information</t>
  </si>
  <si>
    <t>Goal Performance</t>
  </si>
  <si>
    <t>Environmental Factors</t>
  </si>
  <si>
    <t>Time of Year</t>
  </si>
  <si>
    <t>Location Considered</t>
  </si>
  <si>
    <t>Altitude</t>
  </si>
  <si>
    <t>Humidity Consideration</t>
  </si>
  <si>
    <t>Week #</t>
  </si>
  <si>
    <t>Day</t>
  </si>
  <si>
    <t>Run Type</t>
  </si>
  <si>
    <t>Distance (mi)</t>
  </si>
  <si>
    <t>Target Time</t>
  </si>
  <si>
    <t>Target Pace</t>
  </si>
  <si>
    <t>Notes</t>
  </si>
  <si>
    <t>Nutrition/Fuel Plan</t>
  </si>
  <si>
    <t>Completed?</t>
  </si>
  <si>
    <t>Actual Distance</t>
  </si>
  <si>
    <t>Actual Time</t>
  </si>
  <si>
    <t>Actual Pace</t>
  </si>
  <si>
    <t>Enter weeks of plan here -&gt;</t>
  </si>
  <si>
    <t>Activity Name</t>
  </si>
  <si>
    <t>Date</t>
  </si>
  <si>
    <t>Type</t>
  </si>
  <si>
    <t>Duration</t>
  </si>
  <si>
    <t>Pace (min/mi)</t>
  </si>
  <si>
    <t>Elevation Gain (ft)</t>
  </si>
  <si>
    <t>Heart Rate (avg)</t>
  </si>
  <si>
    <t>Effort Level (1-10)</t>
  </si>
  <si>
    <t>Weather</t>
  </si>
  <si>
    <t>Goal Name</t>
  </si>
  <si>
    <t>Goal Number</t>
  </si>
  <si>
    <t>Goal Type</t>
  </si>
  <si>
    <t>Target</t>
  </si>
  <si>
    <t>Start Date</t>
  </si>
  <si>
    <t>End Date</t>
  </si>
  <si>
    <t>Current Progress</t>
  </si>
  <si>
    <t>Percentage Complete</t>
  </si>
  <si>
    <t>Progress Bar</t>
  </si>
  <si>
    <t>Goal Setup</t>
  </si>
  <si>
    <t>Additional Goals</t>
  </si>
  <si>
    <t>Milestone Name</t>
  </si>
  <si>
    <t>Target Value</t>
  </si>
  <si>
    <t>Date Achieved</t>
  </si>
  <si>
    <t>Milestones</t>
  </si>
  <si>
    <t>HOW TO USE THIS RUNNING TRACKER</t>
  </si>
  <si>
    <t>Getting Started</t>
  </si>
  <si>
    <t>Setting Up Your Race</t>
  </si>
  <si>
    <t>Creating Your Training Plan</t>
  </si>
  <si>
    <t>Logging Activities</t>
  </si>
  <si>
    <t>Tracking Goals</t>
  </si>
  <si>
    <t>Understanding Charts</t>
  </si>
  <si>
    <t>Tips &amp; Best Practices</t>
  </si>
  <si>
    <t>GOAL TRACKING &amp; MILESTONES</t>
  </si>
  <si>
    <t>Input start date here -&gt;</t>
  </si>
  <si>
    <t>Expected Temperature (°F)</t>
  </si>
  <si>
    <t>Goal Pace (min/mi)</t>
  </si>
  <si>
    <t>Total Elevation (ft)</t>
  </si>
  <si>
    <t>*** Input Data Below (Will automatically go into table below!)</t>
  </si>
  <si>
    <t>Sort By:</t>
  </si>
  <si>
    <t>Sort Order:</t>
  </si>
  <si>
    <t>Weight Training</t>
  </si>
  <si>
    <t>Run</t>
  </si>
  <si>
    <t>Click below to add!</t>
  </si>
  <si>
    <t>Week Ending</t>
  </si>
  <si>
    <t>Total Miles</t>
  </si>
  <si>
    <t>Week Number</t>
  </si>
  <si>
    <t>Duration ([h]:mm:ss)</t>
  </si>
  <si>
    <t>Pace ((mm:ss)/mi)</t>
  </si>
  <si>
    <t>ex) 10:23</t>
  </si>
  <si>
    <t>ex: 1:23:45</t>
  </si>
  <si>
    <t>ex) 0:01:08</t>
  </si>
  <si>
    <t>Activity Type</t>
  </si>
  <si>
    <t>Count</t>
  </si>
  <si>
    <t>Walk</t>
  </si>
  <si>
    <t>Hike</t>
  </si>
  <si>
    <t>Bike</t>
  </si>
  <si>
    <t>Yoga</t>
  </si>
  <si>
    <t>Swimming</t>
  </si>
  <si>
    <t>Other</t>
  </si>
  <si>
    <t>Average Pace</t>
  </si>
  <si>
    <t>Month</t>
  </si>
  <si>
    <t>Effort Level</t>
  </si>
  <si>
    <t>Dynamic Date</t>
  </si>
  <si>
    <t>Dynamic Average Pace</t>
  </si>
  <si>
    <t>RUNNING DASHBOARD</t>
  </si>
  <si>
    <t>TRAINING OVERVIEW</t>
  </si>
  <si>
    <t>Last Run:</t>
  </si>
  <si>
    <t>Distance:</t>
  </si>
  <si>
    <t>Pace:</t>
  </si>
  <si>
    <t>Goal Time (min)</t>
  </si>
  <si>
    <t>minutes per mile</t>
  </si>
  <si>
    <t>minutes (whole)</t>
  </si>
  <si>
    <t>seconds (decimal)</t>
  </si>
  <si>
    <t>seconds (whole)</t>
  </si>
  <si>
    <t>math! Ignore me:)</t>
  </si>
  <si>
    <t>Convert Your Goal Time to Minutes!</t>
  </si>
  <si>
    <t>Hours</t>
  </si>
  <si>
    <t>Minutes</t>
  </si>
  <si>
    <t>Seconds</t>
  </si>
  <si>
    <t>\/</t>
  </si>
  <si>
    <r>
      <rPr>
        <sz val="11"/>
        <color theme="1"/>
        <rFont val="Trebuchet MS"/>
        <family val="2"/>
      </rPr>
      <t>\/</t>
    </r>
    <r>
      <rPr>
        <b/>
        <sz val="11"/>
        <color theme="1"/>
        <rFont val="Trebuchet MS"/>
        <family val="2"/>
      </rPr>
      <t xml:space="preserve"> TOTAL MINUTES </t>
    </r>
    <r>
      <rPr>
        <sz val="11"/>
        <color theme="1"/>
        <rFont val="Trebuchet MS"/>
        <family val="2"/>
      </rPr>
      <t>\/</t>
    </r>
  </si>
  <si>
    <t>Convert Your Temperature to °F!</t>
  </si>
  <si>
    <t>Select temperature unit:</t>
  </si>
  <si>
    <t>Enter temperature:</t>
  </si>
  <si>
    <t>\/ Fahrenheit \/</t>
  </si>
  <si>
    <t>Example Uses :)</t>
  </si>
  <si>
    <t>Use these!</t>
  </si>
  <si>
    <t>Utility Calculators</t>
  </si>
  <si>
    <t>HAPPY RUNNING! YOU GOT THIS!</t>
  </si>
  <si>
    <t>Easy Hills</t>
  </si>
  <si>
    <t>COLD! 17 degrees but warmed up. Sunny and snowy out</t>
  </si>
  <si>
    <t>Treadmill 2/3.1</t>
  </si>
  <si>
    <t>N/A</t>
  </si>
  <si>
    <t>Boring</t>
  </si>
  <si>
    <t>Treadmill Benchmark Mile</t>
  </si>
  <si>
    <t>FOX ;(</t>
  </si>
  <si>
    <t>Mira Walk</t>
  </si>
  <si>
    <t>Walk to GC from MSG</t>
  </si>
  <si>
    <t>Run + Walk with Ben</t>
  </si>
  <si>
    <t>Chilly Willy</t>
  </si>
  <si>
    <t>Recovery hills post volunteering oxymoron</t>
  </si>
  <si>
    <t>Walking from marathon</t>
  </si>
  <si>
    <t>Walk from race :)</t>
  </si>
  <si>
    <t>PHILLY HALF MARATHON</t>
  </si>
  <si>
    <t>Rain cleared right at the start :)</t>
  </si>
  <si>
    <t>AWESOME!! Can't wait for the next one</t>
  </si>
  <si>
    <t>Tempo Progression</t>
  </si>
  <si>
    <t>Miles and Brews Anniversary</t>
  </si>
  <si>
    <t>Noon 4</t>
  </si>
  <si>
    <t>Windy Tempo</t>
  </si>
  <si>
    <t>Practice half 2 &amp; virtual rocky run</t>
  </si>
  <si>
    <t>Night Neighborhood Walking</t>
  </si>
  <si>
    <t>Virtual rocky run 5k easy</t>
  </si>
  <si>
    <t>New shoe goofin</t>
  </si>
  <si>
    <t>Happy Halloween!</t>
  </si>
  <si>
    <t>Speed repeats + accidental long run</t>
  </si>
  <si>
    <t>EDRRC morning weds</t>
  </si>
  <si>
    <t>FIRST RUN AS EDRRC RUNNER AND 200th ACTIVITY ON STRAVA</t>
  </si>
  <si>
    <t>W/U walk</t>
  </si>
  <si>
    <t>Tired Legs 10</t>
  </si>
  <si>
    <t>Stride Repeats + Long Run</t>
  </si>
  <si>
    <t>VFES brisk walk</t>
  </si>
  <si>
    <t>EDRRC goal pace 10k (and progression)</t>
  </si>
  <si>
    <t>Chill 10k</t>
  </si>
  <si>
    <t>VFES slow jog</t>
  </si>
  <si>
    <t>strength - arms and upper legs</t>
  </si>
  <si>
    <t>Chill long run over the river</t>
  </si>
  <si>
    <t>Easy run, starting to feel XMAS spirit</t>
  </si>
  <si>
    <t>EDRRC miles and brews - first double day</t>
  </si>
  <si>
    <t>EDRRC group -&gt; progression -&gt; c/d</t>
  </si>
  <si>
    <t>Long Run</t>
  </si>
  <si>
    <t>Wouldn't let myself get nerfed</t>
  </si>
  <si>
    <t>Recovery Walk</t>
  </si>
  <si>
    <t>Breathing fail</t>
  </si>
  <si>
    <t>Fall walk</t>
  </si>
  <si>
    <t>Run/walk miles and brews</t>
  </si>
  <si>
    <t>FUELING IS AWESOME</t>
  </si>
  <si>
    <t>Life of a Showgirl walk + ally</t>
  </si>
  <si>
    <t>STRUGGLE long run</t>
  </si>
  <si>
    <t>Stride repeats</t>
  </si>
  <si>
    <t>Mindful recovery walk</t>
  </si>
  <si>
    <t>Goal pace run pre life of a showgirl</t>
  </si>
  <si>
    <t>Rail trail evening 5</t>
  </si>
  <si>
    <t>Practice half 1</t>
  </si>
  <si>
    <t>Hot ahh walk</t>
  </si>
  <si>
    <t>Hot, quick 2 before MD</t>
  </si>
  <si>
    <t>Fun five progression</t>
  </si>
  <si>
    <t>Easy 2</t>
  </si>
  <si>
    <t>Inspired mile</t>
  </si>
  <si>
    <t>30 min mental break run</t>
  </si>
  <si>
    <t>Miles &amp; brews 5k</t>
  </si>
  <si>
    <t>Longest run in over half a year</t>
  </si>
  <si>
    <t>Best water ever</t>
  </si>
  <si>
    <t>Burning off lunch tacos</t>
  </si>
  <si>
    <t>Lil walk</t>
  </si>
  <si>
    <t>Benchmark mile</t>
  </si>
  <si>
    <t>All too well twice</t>
  </si>
  <si>
    <t>Descending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</si>
</sst>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
  </numFmts>
  <fonts count="25" x14ac:knownFonts="1">
    <font>
      <sz val="11"/>
      <color theme="1"/>
      <name val="Calibri"/>
      <family val="2"/>
      <scheme val="minor"/>
    </font>
    <font>
      <sz val="11"/>
      <color theme="1"/>
      <name val="Trebuchet MS"/>
      <family val="2"/>
    </font>
    <font>
      <b/>
      <sz val="11"/>
      <color theme="1"/>
      <name val="Trebuchet MS"/>
      <family val="2"/>
    </font>
    <font>
      <b/>
      <sz val="14"/>
      <color theme="2"/>
      <name val="Trebuchet MS"/>
      <family val="2"/>
    </font>
    <font>
      <sz val="16"/>
      <color theme="1"/>
      <name val="Trebuchet MS"/>
      <family val="2"/>
    </font>
    <font>
      <b/>
      <sz val="22"/>
      <color theme="2"/>
      <name val="Trebuchet MS"/>
      <family val="2"/>
    </font>
    <font>
      <b/>
      <sz val="11"/>
      <color theme="2"/>
      <name val="Trebuchet MS"/>
      <family val="2"/>
    </font>
    <font>
      <b/>
      <sz val="12"/>
      <color theme="2"/>
      <name val="Trebuchet MS"/>
      <family val="2"/>
    </font>
    <font>
      <b/>
      <sz val="20"/>
      <color theme="2"/>
      <name val="Trebuchet MS"/>
      <family val="2"/>
    </font>
    <font>
      <sz val="11"/>
      <color theme="1" tint="0.14999847407452621"/>
      <name val="Trebuchet MS"/>
      <family val="2"/>
    </font>
    <font>
      <b/>
      <sz val="16"/>
      <color theme="2"/>
      <name val="Trebuchet MS"/>
      <family val="2"/>
    </font>
    <font>
      <b/>
      <i/>
      <sz val="11"/>
      <color theme="1"/>
      <name val="Trebuchet MS"/>
      <family val="2"/>
    </font>
    <font>
      <b/>
      <sz val="11"/>
      <color theme="1"/>
      <name val="Calibri"/>
      <family val="2"/>
      <scheme val="minor"/>
    </font>
    <font>
      <i/>
      <sz val="11"/>
      <color theme="1"/>
      <name val="Trebuchet MS"/>
      <family val="2"/>
    </font>
    <font>
      <b/>
      <sz val="11"/>
      <color rgb="FFF2F2F2"/>
      <name val="Trebuchet MS"/>
      <family val="2"/>
    </font>
    <font>
      <sz val="12"/>
      <color theme="1"/>
      <name val="Trebuchet MS"/>
      <family val="2"/>
    </font>
    <font>
      <b/>
      <sz val="20"/>
      <color rgb="FFF2F2F2"/>
      <name val="Trebuchet MS"/>
      <family val="2"/>
    </font>
    <font>
      <b/>
      <sz val="14"/>
      <color rgb="FFF2F2F2"/>
      <name val="Trebuchet MS"/>
      <family val="2"/>
    </font>
    <font>
      <sz val="12"/>
      <color theme="1"/>
      <name val="Calibri"/>
      <family val="2"/>
      <scheme val="minor"/>
    </font>
    <font>
      <sz val="11"/>
      <color theme="0"/>
      <name val="Trebuchet MS"/>
      <family val="2"/>
    </font>
    <font>
      <sz val="11"/>
      <name val="Trebuchet MS"/>
      <family val="2"/>
    </font>
    <font>
      <b/>
      <sz val="11"/>
      <color theme="0"/>
      <name val="Trebuchet MS"/>
      <family val="2"/>
    </font>
    <font>
      <b/>
      <sz val="16"/>
      <color theme="0"/>
      <name val="Trebuchet MS"/>
      <family val="2"/>
    </font>
    <font>
      <b/>
      <sz val="48"/>
      <color theme="0"/>
      <name val="Trebuchet MS"/>
      <family val="2"/>
    </font>
    <font>
      <sz val="11"/>
      <color rgb="FF000000"/>
      <name val="Calibri"/>
      <family val="2"/>
    </font>
  </fonts>
  <fills count="14">
    <fill>
      <patternFill patternType="none"/>
    </fill>
    <fill>
      <patternFill patternType="gray125"/>
    </fill>
    <fill>
      <patternFill patternType="solid">
        <fgColor rgb="FF1F4E78"/>
        <bgColor indexed="64"/>
      </patternFill>
    </fill>
    <fill>
      <patternFill patternType="solid">
        <fgColor rgb="FF4472C4"/>
        <bgColor indexed="64"/>
      </patternFill>
    </fill>
    <fill>
      <patternFill patternType="solid">
        <fgColor rgb="FFFFF2CC"/>
        <bgColor indexed="64"/>
      </patternFill>
    </fill>
    <fill>
      <patternFill patternType="solid">
        <fgColor theme="0"/>
        <bgColor indexed="64"/>
      </patternFill>
    </fill>
    <fill>
      <patternFill patternType="solid">
        <fgColor rgb="FFE2EFDA"/>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rgb="FFF2F2F2"/>
        <bgColor indexed="64"/>
      </patternFill>
    </fill>
    <fill>
      <patternFill patternType="solid">
        <fgColor rgb="FFBDD7EE"/>
        <bgColor indexed="64"/>
      </patternFill>
    </fill>
    <fill>
      <patternFill patternType="solid">
        <fgColor rgb="FFFFFFFF"/>
        <bgColor indexed="64"/>
      </patternFill>
    </fill>
    <fill>
      <patternFill patternType="solid">
        <fgColor theme="6" tint="0.59999389629810485"/>
        <bgColor indexed="64"/>
      </patternFill>
    </fill>
    <fill>
      <patternFill patternType="solid">
        <fgColor theme="9" tint="0.59999389629810485"/>
        <bgColor indexed="64"/>
      </patternFill>
    </fill>
  </fills>
  <borders count="41">
    <border>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4"/>
      </left>
      <right/>
      <top style="medium">
        <color theme="4"/>
      </top>
      <bottom/>
      <diagonal/>
    </border>
    <border>
      <left style="thin">
        <color theme="4"/>
      </left>
      <right style="thin">
        <color theme="4"/>
      </right>
      <top style="medium">
        <color theme="4"/>
      </top>
      <bottom/>
      <diagonal/>
    </border>
    <border>
      <left style="thin">
        <color theme="4"/>
      </left>
      <right/>
      <top style="thin">
        <color theme="4"/>
      </top>
      <bottom style="thin">
        <color theme="4"/>
      </bottom>
      <diagonal/>
    </border>
    <border>
      <left/>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style="thin">
        <color indexed="64"/>
      </top>
      <bottom style="medium">
        <color indexed="64"/>
      </bottom>
      <diagonal/>
    </border>
  </borders>
  <cellStyleXfs count="1">
    <xf numFmtId="0" fontId="0" fillId="0" borderId="0"/>
  </cellStyleXfs>
  <cellXfs count="176">
    <xf numFmtId="0" fontId="0" fillId="0" borderId="0" xfId="0"/>
    <xf numFmtId="0" fontId="1" fillId="5" borderId="0" xfId="0" applyFont="1" applyFill="1"/>
    <xf numFmtId="0" fontId="1" fillId="5" borderId="0" xfId="0" applyFont="1" applyFill="1" applyAlignment="1">
      <alignment vertical="top" wrapText="1"/>
    </xf>
    <xf numFmtId="0" fontId="0" fillId="5" borderId="0" xfId="0" applyFill="1"/>
    <xf numFmtId="0" fontId="1" fillId="5" borderId="0" xfId="0" applyFont="1" applyFill="1" applyAlignment="1">
      <alignment wrapText="1"/>
    </xf>
    <xf numFmtId="0" fontId="1" fillId="5" borderId="9" xfId="0" applyFont="1" applyFill="1" applyBorder="1" applyAlignment="1">
      <alignment horizontal="left" indent="1"/>
    </xf>
    <xf numFmtId="0" fontId="1" fillId="4" borderId="10" xfId="0" applyFont="1" applyFill="1" applyBorder="1"/>
    <xf numFmtId="0" fontId="1" fillId="5" borderId="11" xfId="0" applyFont="1" applyFill="1" applyBorder="1"/>
    <xf numFmtId="0" fontId="1" fillId="5" borderId="13" xfId="0" applyFont="1" applyFill="1" applyBorder="1" applyAlignment="1">
      <alignment horizontal="left" indent="1"/>
    </xf>
    <xf numFmtId="0" fontId="1" fillId="5" borderId="15" xfId="0" applyFont="1" applyFill="1" applyBorder="1"/>
    <xf numFmtId="0" fontId="1" fillId="4" borderId="14" xfId="0" applyFont="1" applyFill="1" applyBorder="1" applyAlignment="1">
      <alignment wrapText="1"/>
    </xf>
    <xf numFmtId="0" fontId="1" fillId="4" borderId="4" xfId="0" applyFont="1" applyFill="1" applyBorder="1"/>
    <xf numFmtId="0" fontId="7" fillId="3" borderId="17" xfId="0" applyFont="1" applyFill="1" applyBorder="1" applyAlignment="1">
      <alignment horizontal="center"/>
    </xf>
    <xf numFmtId="0" fontId="7" fillId="3" borderId="18" xfId="0" applyFont="1" applyFill="1" applyBorder="1" applyAlignment="1">
      <alignment horizontal="center"/>
    </xf>
    <xf numFmtId="0" fontId="1" fillId="5" borderId="17" xfId="0" applyFont="1" applyFill="1" applyBorder="1"/>
    <xf numFmtId="0" fontId="1" fillId="5" borderId="18" xfId="0" applyFont="1" applyFill="1" applyBorder="1"/>
    <xf numFmtId="0" fontId="1" fillId="5" borderId="21" xfId="0" applyFont="1" applyFill="1" applyBorder="1"/>
    <xf numFmtId="0" fontId="1" fillId="5" borderId="16" xfId="0" applyFont="1" applyFill="1" applyBorder="1"/>
    <xf numFmtId="0" fontId="6" fillId="3" borderId="5"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0" fontId="9" fillId="6" borderId="2" xfId="0" applyFont="1" applyFill="1" applyBorder="1" applyAlignment="1">
      <alignment horizontal="center"/>
    </xf>
    <xf numFmtId="0" fontId="9" fillId="6" borderId="3" xfId="0" applyFont="1" applyFill="1" applyBorder="1" applyAlignment="1">
      <alignment horizontal="center"/>
    </xf>
    <xf numFmtId="0" fontId="9" fillId="6" borderId="1" xfId="0" applyFont="1" applyFill="1" applyBorder="1" applyAlignment="1">
      <alignment horizontal="center"/>
    </xf>
    <xf numFmtId="0" fontId="4" fillId="5" borderId="0" xfId="0" applyFont="1" applyFill="1"/>
    <xf numFmtId="0" fontId="7" fillId="3" borderId="1" xfId="0" applyFont="1" applyFill="1" applyBorder="1" applyAlignment="1">
      <alignment horizontal="center"/>
    </xf>
    <xf numFmtId="0" fontId="1" fillId="5" borderId="6" xfId="0" applyFont="1" applyFill="1" applyBorder="1"/>
    <xf numFmtId="0" fontId="1" fillId="5" borderId="23" xfId="0" applyFont="1" applyFill="1" applyBorder="1"/>
    <xf numFmtId="0" fontId="1" fillId="5" borderId="8" xfId="0" applyFont="1" applyFill="1" applyBorder="1"/>
    <xf numFmtId="0" fontId="1" fillId="5" borderId="9" xfId="0" applyFont="1" applyFill="1" applyBorder="1"/>
    <xf numFmtId="0" fontId="1" fillId="5" borderId="5" xfId="0" applyFont="1" applyFill="1" applyBorder="1"/>
    <xf numFmtId="0" fontId="1" fillId="5" borderId="23" xfId="0" applyFont="1" applyFill="1" applyBorder="1" applyAlignment="1">
      <alignment wrapText="1"/>
    </xf>
    <xf numFmtId="0" fontId="1" fillId="5" borderId="23" xfId="0" applyFont="1" applyFill="1" applyBorder="1">
      <extLst>
        <ext xmlns:xfpb="http://schemas.microsoft.com/office/spreadsheetml/2022/featurepropertybag" uri="{C7286773-470A-42A8-94C5-96B5CB345126}">
          <xfpb:xfComplement i="0"/>
        </ext>
      </extLst>
    </xf>
    <xf numFmtId="0" fontId="1" fillId="5" borderId="14" xfId="0" applyFont="1" applyFill="1" applyBorder="1"/>
    <xf numFmtId="0" fontId="1" fillId="5" borderId="8" xfId="0" applyFont="1" applyFill="1" applyBorder="1">
      <extLst>
        <ext xmlns:xfpb="http://schemas.microsoft.com/office/spreadsheetml/2022/featurepropertybag" uri="{C7286773-470A-42A8-94C5-96B5CB345126}">
          <xfpb:xfComplement i="0"/>
        </ext>
      </extLst>
    </xf>
    <xf numFmtId="0" fontId="1" fillId="5" borderId="5" xfId="0" applyFont="1" applyFill="1" applyBorder="1">
      <extLst>
        <ext xmlns:xfpb="http://schemas.microsoft.com/office/spreadsheetml/2022/featurepropertybag" uri="{C7286773-470A-42A8-94C5-96B5CB345126}">
          <xfpb:xfComplement i="0"/>
        </ext>
      </extLst>
    </xf>
    <xf numFmtId="0" fontId="1" fillId="5" borderId="12" xfId="0" applyFont="1" applyFill="1" applyBorder="1">
      <extLst>
        <ext xmlns:xfpb="http://schemas.microsoft.com/office/spreadsheetml/2022/featurepropertybag" uri="{C7286773-470A-42A8-94C5-96B5CB345126}">
          <xfpb:xfComplement i="0"/>
        </ext>
      </extLst>
    </xf>
    <xf numFmtId="0" fontId="1" fillId="5" borderId="8" xfId="0" applyFont="1" applyFill="1" applyBorder="1" applyAlignment="1">
      <alignment wrapText="1"/>
    </xf>
    <xf numFmtId="0" fontId="1" fillId="5" borderId="9" xfId="0" applyFont="1" applyFill="1" applyBorder="1" applyAlignment="1">
      <alignment wrapText="1"/>
    </xf>
    <xf numFmtId="0" fontId="1" fillId="5" borderId="14" xfId="0" applyFont="1" applyFill="1" applyBorder="1" applyAlignment="1">
      <alignment wrapText="1"/>
    </xf>
    <xf numFmtId="0" fontId="1" fillId="5" borderId="5" xfId="0" applyFont="1" applyFill="1" applyBorder="1" applyAlignment="1">
      <alignment wrapText="1"/>
    </xf>
    <xf numFmtId="14" fontId="1" fillId="5" borderId="23" xfId="0" applyNumberFormat="1" applyFont="1" applyFill="1" applyBorder="1"/>
    <xf numFmtId="14" fontId="1" fillId="4" borderId="4" xfId="0" applyNumberFormat="1" applyFont="1" applyFill="1" applyBorder="1"/>
    <xf numFmtId="14" fontId="1" fillId="5" borderId="8" xfId="0" applyNumberFormat="1" applyFont="1" applyFill="1" applyBorder="1"/>
    <xf numFmtId="14" fontId="1" fillId="5" borderId="14" xfId="0" applyNumberFormat="1" applyFont="1" applyFill="1" applyBorder="1"/>
    <xf numFmtId="0" fontId="1" fillId="5" borderId="24" xfId="0" applyFont="1" applyFill="1" applyBorder="1"/>
    <xf numFmtId="0" fontId="1" fillId="5" borderId="25" xfId="0" applyFont="1" applyFill="1" applyBorder="1"/>
    <xf numFmtId="0" fontId="1" fillId="5" borderId="12" xfId="0" applyFont="1" applyFill="1" applyBorder="1"/>
    <xf numFmtId="0" fontId="1" fillId="5" borderId="26" xfId="0" applyFont="1" applyFill="1" applyBorder="1"/>
    <xf numFmtId="0" fontId="2" fillId="7" borderId="12" xfId="0" applyFont="1" applyFill="1" applyBorder="1" applyAlignment="1">
      <alignment horizontal="left" indent="1"/>
    </xf>
    <xf numFmtId="0" fontId="2" fillId="7" borderId="4" xfId="0" applyFont="1" applyFill="1" applyBorder="1" applyAlignment="1">
      <alignment horizontal="left" indent="1"/>
    </xf>
    <xf numFmtId="0" fontId="1" fillId="9" borderId="8" xfId="0" applyFont="1" applyFill="1" applyBorder="1"/>
    <xf numFmtId="0" fontId="1" fillId="4" borderId="12" xfId="0" applyFont="1" applyFill="1" applyBorder="1" applyAlignment="1">
      <alignment horizontal="left" indent="1"/>
    </xf>
    <xf numFmtId="0" fontId="1" fillId="4" borderId="4" xfId="0" applyFont="1" applyFill="1" applyBorder="1" applyAlignment="1">
      <alignment horizontal="left" indent="1"/>
    </xf>
    <xf numFmtId="0" fontId="1" fillId="9" borderId="12" xfId="0" applyFont="1" applyFill="1" applyBorder="1" applyAlignment="1">
      <alignment horizontal="left" indent="1"/>
    </xf>
    <xf numFmtId="0" fontId="1" fillId="9" borderId="0" xfId="0" applyFont="1" applyFill="1"/>
    <xf numFmtId="0" fontId="14" fillId="3" borderId="4" xfId="0" applyFont="1" applyFill="1" applyBorder="1" applyAlignment="1">
      <alignment horizontal="right"/>
    </xf>
    <xf numFmtId="0" fontId="13" fillId="5" borderId="0" xfId="0" applyFont="1" applyFill="1"/>
    <xf numFmtId="16" fontId="1" fillId="4" borderId="4" xfId="0" applyNumberFormat="1" applyFont="1" applyFill="1" applyBorder="1"/>
    <xf numFmtId="0" fontId="1" fillId="10" borderId="17" xfId="0" applyFont="1" applyFill="1" applyBorder="1"/>
    <xf numFmtId="14" fontId="1" fillId="10" borderId="17" xfId="0" applyNumberFormat="1" applyFont="1" applyFill="1" applyBorder="1"/>
    <xf numFmtId="0" fontId="1" fillId="10" borderId="18" xfId="0" applyFont="1" applyFill="1" applyBorder="1"/>
    <xf numFmtId="0" fontId="1" fillId="10" borderId="19" xfId="0" applyFont="1" applyFill="1" applyBorder="1"/>
    <xf numFmtId="14" fontId="1" fillId="10" borderId="19" xfId="0" applyNumberFormat="1" applyFont="1" applyFill="1" applyBorder="1"/>
    <xf numFmtId="0" fontId="1" fillId="10" borderId="20" xfId="0" applyFont="1" applyFill="1" applyBorder="1"/>
    <xf numFmtId="0" fontId="1" fillId="11" borderId="17" xfId="0" applyFont="1" applyFill="1" applyBorder="1"/>
    <xf numFmtId="14" fontId="1" fillId="11" borderId="17" xfId="0" applyNumberFormat="1" applyFont="1" applyFill="1" applyBorder="1"/>
    <xf numFmtId="0" fontId="1" fillId="11" borderId="18" xfId="0" applyFont="1" applyFill="1" applyBorder="1"/>
    <xf numFmtId="0" fontId="1" fillId="5" borderId="0" xfId="0" applyFont="1" applyFill="1" applyAlignment="1">
      <alignment horizontal="center"/>
    </xf>
    <xf numFmtId="0" fontId="13" fillId="6" borderId="0" xfId="0" applyFont="1" applyFill="1"/>
    <xf numFmtId="46" fontId="1" fillId="4" borderId="4" xfId="0" applyNumberFormat="1" applyFont="1" applyFill="1" applyBorder="1"/>
    <xf numFmtId="46" fontId="1" fillId="10" borderId="19" xfId="0" applyNumberFormat="1" applyFont="1" applyFill="1" applyBorder="1"/>
    <xf numFmtId="46" fontId="1" fillId="11" borderId="17" xfId="0" applyNumberFormat="1" applyFont="1" applyFill="1" applyBorder="1"/>
    <xf numFmtId="46" fontId="1" fillId="10" borderId="17" xfId="0" applyNumberFormat="1" applyFont="1" applyFill="1" applyBorder="1"/>
    <xf numFmtId="46" fontId="1" fillId="5" borderId="17" xfId="0" applyNumberFormat="1" applyFont="1" applyFill="1" applyBorder="1"/>
    <xf numFmtId="46" fontId="1" fillId="5" borderId="21" xfId="0" applyNumberFormat="1" applyFont="1" applyFill="1" applyBorder="1"/>
    <xf numFmtId="21" fontId="1" fillId="4" borderId="4" xfId="0" applyNumberFormat="1" applyFont="1" applyFill="1" applyBorder="1"/>
    <xf numFmtId="21" fontId="1" fillId="10" borderId="19" xfId="0" applyNumberFormat="1" applyFont="1" applyFill="1" applyBorder="1"/>
    <xf numFmtId="21" fontId="1" fillId="11" borderId="17" xfId="0" applyNumberFormat="1" applyFont="1" applyFill="1" applyBorder="1"/>
    <xf numFmtId="21" fontId="1" fillId="10" borderId="17" xfId="0" applyNumberFormat="1" applyFont="1" applyFill="1" applyBorder="1"/>
    <xf numFmtId="21" fontId="1" fillId="5" borderId="17" xfId="0" applyNumberFormat="1" applyFont="1" applyFill="1" applyBorder="1"/>
    <xf numFmtId="21" fontId="1" fillId="5" borderId="21" xfId="0" applyNumberFormat="1" applyFont="1" applyFill="1" applyBorder="1"/>
    <xf numFmtId="0" fontId="12" fillId="5" borderId="4" xfId="0" applyFont="1" applyFill="1" applyBorder="1" applyAlignment="1">
      <alignment horizontal="center"/>
    </xf>
    <xf numFmtId="14" fontId="0" fillId="5" borderId="4" xfId="0" applyNumberFormat="1" applyFill="1" applyBorder="1" applyAlignment="1">
      <alignment horizontal="center"/>
    </xf>
    <xf numFmtId="0" fontId="0" fillId="5" borderId="4" xfId="0" applyFill="1" applyBorder="1" applyAlignment="1">
      <alignment horizontal="center"/>
    </xf>
    <xf numFmtId="0" fontId="12" fillId="5" borderId="4" xfId="0" applyFont="1" applyFill="1" applyBorder="1"/>
    <xf numFmtId="0" fontId="0" fillId="5" borderId="4" xfId="0" applyFill="1" applyBorder="1"/>
    <xf numFmtId="164" fontId="0" fillId="5" borderId="4" xfId="0" applyNumberFormat="1" applyFill="1" applyBorder="1"/>
    <xf numFmtId="46" fontId="0" fillId="5" borderId="4" xfId="0" applyNumberFormat="1" applyFill="1" applyBorder="1"/>
    <xf numFmtId="0" fontId="0" fillId="0" borderId="4" xfId="0" applyBorder="1"/>
    <xf numFmtId="0" fontId="12" fillId="5" borderId="13" xfId="0" applyFont="1" applyFill="1" applyBorder="1"/>
    <xf numFmtId="46" fontId="0" fillId="5" borderId="13" xfId="0" applyNumberFormat="1" applyFill="1" applyBorder="1"/>
    <xf numFmtId="0" fontId="12" fillId="5" borderId="15" xfId="0" applyFont="1" applyFill="1" applyBorder="1"/>
    <xf numFmtId="164" fontId="0" fillId="5" borderId="15" xfId="0" applyNumberFormat="1" applyFill="1" applyBorder="1"/>
    <xf numFmtId="0" fontId="0" fillId="5" borderId="25" xfId="0" applyFill="1" applyBorder="1"/>
    <xf numFmtId="0" fontId="0" fillId="5" borderId="6" xfId="0" applyFill="1" applyBorder="1"/>
    <xf numFmtId="0" fontId="0" fillId="5" borderId="0" xfId="0" applyFill="1" applyAlignment="1">
      <alignment vertical="center" wrapText="1"/>
    </xf>
    <xf numFmtId="0" fontId="0" fillId="2" borderId="0" xfId="0" applyFill="1"/>
    <xf numFmtId="0" fontId="0" fillId="2" borderId="0" xfId="0" applyFill="1" applyAlignment="1">
      <alignment vertical="center" wrapText="1"/>
    </xf>
    <xf numFmtId="0" fontId="1" fillId="0" borderId="0" xfId="0" applyFont="1"/>
    <xf numFmtId="0" fontId="2" fillId="0" borderId="0" xfId="0" applyFont="1" applyAlignment="1">
      <alignment horizontal="right"/>
    </xf>
    <xf numFmtId="14" fontId="18" fillId="4" borderId="4" xfId="0" applyNumberFormat="1" applyFont="1" applyFill="1" applyBorder="1"/>
    <xf numFmtId="0" fontId="15" fillId="4" borderId="4" xfId="0" applyFont="1" applyFill="1" applyBorder="1"/>
    <xf numFmtId="46" fontId="0" fillId="0" borderId="0" xfId="0" applyNumberFormat="1"/>
    <xf numFmtId="0" fontId="1" fillId="9" borderId="14" xfId="0" applyFont="1" applyFill="1" applyBorder="1"/>
    <xf numFmtId="0" fontId="19" fillId="5" borderId="0" xfId="0" applyFont="1" applyFill="1"/>
    <xf numFmtId="0" fontId="20" fillId="5" borderId="0" xfId="0" applyFont="1" applyFill="1"/>
    <xf numFmtId="0" fontId="1" fillId="12" borderId="4" xfId="0" applyFont="1" applyFill="1" applyBorder="1" applyAlignment="1">
      <alignment horizontal="center"/>
    </xf>
    <xf numFmtId="0" fontId="1" fillId="4" borderId="29" xfId="0" applyFont="1" applyFill="1" applyBorder="1"/>
    <xf numFmtId="0" fontId="1" fillId="4" borderId="30" xfId="0" applyFont="1" applyFill="1" applyBorder="1"/>
    <xf numFmtId="0" fontId="1" fillId="5" borderId="31" xfId="0" applyFont="1" applyFill="1" applyBorder="1" applyAlignment="1">
      <alignment horizontal="center"/>
    </xf>
    <xf numFmtId="0" fontId="1" fillId="5" borderId="32" xfId="0" applyFont="1" applyFill="1" applyBorder="1" applyAlignment="1">
      <alignment horizontal="center"/>
    </xf>
    <xf numFmtId="0" fontId="1" fillId="12" borderId="29" xfId="0" applyFont="1" applyFill="1" applyBorder="1" applyAlignment="1">
      <alignment horizontal="center"/>
    </xf>
    <xf numFmtId="0" fontId="1" fillId="12" borderId="30" xfId="0" applyFont="1" applyFill="1" applyBorder="1" applyAlignment="1">
      <alignment horizontal="center"/>
    </xf>
    <xf numFmtId="0" fontId="1" fillId="4" borderId="30" xfId="0" applyFont="1" applyFill="1" applyBorder="1" applyAlignment="1">
      <alignment horizontal="center"/>
    </xf>
    <xf numFmtId="0" fontId="21" fillId="3" borderId="29" xfId="0" applyFont="1" applyFill="1" applyBorder="1" applyAlignment="1">
      <alignment horizontal="center"/>
    </xf>
    <xf numFmtId="0" fontId="21" fillId="3" borderId="4" xfId="0" applyFont="1" applyFill="1" applyBorder="1" applyAlignment="1">
      <alignment horizontal="center"/>
    </xf>
    <xf numFmtId="0" fontId="21" fillId="3" borderId="30" xfId="0" applyFont="1" applyFill="1" applyBorder="1" applyAlignment="1">
      <alignment horizontal="center"/>
    </xf>
    <xf numFmtId="0" fontId="1" fillId="5" borderId="31" xfId="0" applyFont="1" applyFill="1" applyBorder="1"/>
    <xf numFmtId="0" fontId="1" fillId="5" borderId="32" xfId="0" applyFont="1" applyFill="1" applyBorder="1"/>
    <xf numFmtId="0" fontId="1" fillId="5" borderId="1" xfId="0" applyFont="1" applyFill="1" applyBorder="1"/>
    <xf numFmtId="0" fontId="1" fillId="9" borderId="31" xfId="0" applyFont="1" applyFill="1" applyBorder="1"/>
    <xf numFmtId="0" fontId="1" fillId="9" borderId="32" xfId="0" applyFont="1" applyFill="1" applyBorder="1"/>
    <xf numFmtId="0" fontId="1" fillId="9" borderId="39" xfId="0" applyFont="1" applyFill="1" applyBorder="1"/>
    <xf numFmtId="0" fontId="1" fillId="9" borderId="40" xfId="0" applyFont="1" applyFill="1" applyBorder="1"/>
    <xf numFmtId="0" fontId="1" fillId="9" borderId="38" xfId="0" applyFont="1" applyFill="1" applyBorder="1"/>
    <xf numFmtId="1" fontId="20" fillId="5" borderId="0" xfId="0" applyNumberFormat="1" applyFont="1" applyFill="1"/>
    <xf numFmtId="0" fontId="1" fillId="11" borderId="17" xfId="0" applyFont="1" applyFill="1" applyBorder="1" applyAlignment="1">
      <alignment wrapText="1"/>
    </xf>
    <xf numFmtId="0" fontId="1" fillId="11" borderId="18" xfId="0" applyFont="1" applyFill="1" applyBorder="1" applyAlignment="1">
      <alignment wrapText="1"/>
    </xf>
    <xf numFmtId="0" fontId="16" fillId="2" borderId="1" xfId="0" applyFont="1" applyFill="1" applyBorder="1" applyAlignment="1">
      <alignment horizontal="center"/>
    </xf>
    <xf numFmtId="0" fontId="17" fillId="3" borderId="0" xfId="0" applyFont="1" applyFill="1" applyAlignment="1">
      <alignment horizontal="center"/>
    </xf>
    <xf numFmtId="0" fontId="23" fillId="2" borderId="0" xfId="0" applyFont="1" applyFill="1" applyAlignment="1">
      <alignment horizontal="center" vertical="center"/>
    </xf>
    <xf numFmtId="0" fontId="1" fillId="4" borderId="0" xfId="0" applyFont="1" applyFill="1" applyAlignment="1">
      <alignment horizontal="center" vertical="top" wrapText="1"/>
    </xf>
    <xf numFmtId="0" fontId="5" fillId="2" borderId="0" xfId="0" applyFont="1" applyFill="1" applyAlignment="1">
      <alignment horizontal="center"/>
    </xf>
    <xf numFmtId="0" fontId="3" fillId="3" borderId="0" xfId="0" applyFont="1" applyFill="1" applyAlignment="1">
      <alignment horizontal="center" vertical="center" wrapText="1"/>
    </xf>
    <xf numFmtId="0" fontId="1" fillId="4" borderId="0" xfId="0" applyFont="1" applyFill="1" applyAlignment="1">
      <alignment horizontal="left" vertical="top" wrapText="1"/>
    </xf>
    <xf numFmtId="0" fontId="2" fillId="5" borderId="27" xfId="0" applyFont="1" applyFill="1" applyBorder="1" applyAlignment="1">
      <alignment horizontal="center"/>
    </xf>
    <xf numFmtId="0" fontId="2" fillId="5" borderId="22" xfId="0" applyFont="1" applyFill="1" applyBorder="1" applyAlignment="1">
      <alignment horizontal="center"/>
    </xf>
    <xf numFmtId="0" fontId="2" fillId="5" borderId="28" xfId="0" applyFont="1" applyFill="1" applyBorder="1" applyAlignment="1">
      <alignment horizontal="center"/>
    </xf>
    <xf numFmtId="0" fontId="21" fillId="3" borderId="29" xfId="0" applyFont="1" applyFill="1" applyBorder="1" applyAlignment="1">
      <alignment horizontal="right"/>
    </xf>
    <xf numFmtId="0" fontId="21" fillId="3" borderId="4" xfId="0" applyFont="1" applyFill="1" applyBorder="1" applyAlignment="1">
      <alignment horizontal="right"/>
    </xf>
    <xf numFmtId="0" fontId="2" fillId="5" borderId="33" xfId="0" applyFont="1" applyFill="1" applyBorder="1" applyAlignment="1">
      <alignment horizontal="center"/>
    </xf>
    <xf numFmtId="0" fontId="2" fillId="5" borderId="6" xfId="0" applyFont="1" applyFill="1" applyBorder="1" applyAlignment="1">
      <alignment horizontal="center"/>
    </xf>
    <xf numFmtId="0" fontId="2" fillId="5" borderId="34" xfId="0" applyFont="1" applyFill="1" applyBorder="1" applyAlignment="1">
      <alignment horizontal="center"/>
    </xf>
    <xf numFmtId="0" fontId="13" fillId="13" borderId="35" xfId="0" applyFont="1" applyFill="1" applyBorder="1" applyAlignment="1">
      <alignment horizontal="center"/>
    </xf>
    <xf numFmtId="0" fontId="13" fillId="13" borderId="36" xfId="0" applyFont="1" applyFill="1" applyBorder="1" applyAlignment="1">
      <alignment horizontal="center"/>
    </xf>
    <xf numFmtId="0" fontId="13" fillId="13" borderId="37" xfId="0" applyFont="1" applyFill="1" applyBorder="1" applyAlignment="1">
      <alignment horizontal="center"/>
    </xf>
    <xf numFmtId="0" fontId="3" fillId="2" borderId="27" xfId="0" applyFont="1" applyFill="1" applyBorder="1" applyAlignment="1">
      <alignment horizontal="center"/>
    </xf>
    <xf numFmtId="0" fontId="3" fillId="2" borderId="22" xfId="0" applyFont="1" applyFill="1" applyBorder="1" applyAlignment="1">
      <alignment horizontal="center"/>
    </xf>
    <xf numFmtId="0" fontId="3" fillId="2" borderId="28" xfId="0" applyFont="1" applyFill="1" applyBorder="1" applyAlignment="1">
      <alignment horizontal="center"/>
    </xf>
    <xf numFmtId="0" fontId="1" fillId="13" borderId="35" xfId="0" applyFont="1" applyFill="1" applyBorder="1" applyAlignment="1">
      <alignment horizontal="center"/>
    </xf>
    <xf numFmtId="0" fontId="1" fillId="13" borderId="36" xfId="0" applyFont="1" applyFill="1" applyBorder="1" applyAlignment="1">
      <alignment horizontal="center"/>
    </xf>
    <xf numFmtId="0" fontId="1" fillId="13" borderId="37" xfId="0" applyFont="1" applyFill="1" applyBorder="1" applyAlignment="1">
      <alignment horizontal="center"/>
    </xf>
    <xf numFmtId="0" fontId="7" fillId="3" borderId="5" xfId="0" applyFont="1" applyFill="1" applyBorder="1" applyAlignment="1">
      <alignment horizontal="center"/>
    </xf>
    <xf numFmtId="0" fontId="7" fillId="3" borderId="7" xfId="0" applyFont="1" applyFill="1" applyBorder="1" applyAlignment="1">
      <alignment horizontal="center"/>
    </xf>
    <xf numFmtId="0" fontId="22" fillId="2" borderId="27" xfId="0" applyFont="1" applyFill="1" applyBorder="1" applyAlignment="1">
      <alignment horizontal="center" vertical="center"/>
    </xf>
    <xf numFmtId="0" fontId="22" fillId="2" borderId="22" xfId="0" applyFont="1" applyFill="1" applyBorder="1" applyAlignment="1">
      <alignment horizontal="center" vertical="center"/>
    </xf>
    <xf numFmtId="0" fontId="22" fillId="2" borderId="28" xfId="0" applyFont="1" applyFill="1" applyBorder="1" applyAlignment="1">
      <alignment horizontal="center" vertical="center"/>
    </xf>
    <xf numFmtId="0" fontId="22" fillId="2" borderId="31" xfId="0" applyFont="1" applyFill="1" applyBorder="1" applyAlignment="1">
      <alignment horizontal="center" vertical="center"/>
    </xf>
    <xf numFmtId="0" fontId="22" fillId="2" borderId="0" xfId="0" applyFont="1" applyFill="1" applyAlignment="1">
      <alignment horizontal="center" vertical="center"/>
    </xf>
    <xf numFmtId="0" fontId="22" fillId="2" borderId="32" xfId="0" applyFont="1" applyFill="1" applyBorder="1" applyAlignment="1">
      <alignment horizontal="center" vertical="center"/>
    </xf>
    <xf numFmtId="0" fontId="13" fillId="5" borderId="31" xfId="0" applyFont="1" applyFill="1" applyBorder="1" applyAlignment="1">
      <alignment horizontal="center" vertical="center"/>
    </xf>
    <xf numFmtId="0" fontId="13" fillId="5" borderId="0" xfId="0" applyFont="1" applyFill="1" applyAlignment="1">
      <alignment horizontal="center" vertical="center"/>
    </xf>
    <xf numFmtId="0" fontId="13" fillId="5" borderId="39" xfId="0" applyFont="1" applyFill="1" applyBorder="1" applyAlignment="1">
      <alignment horizontal="center" vertical="center"/>
    </xf>
    <xf numFmtId="0" fontId="13" fillId="5" borderId="1" xfId="0" applyFont="1" applyFill="1" applyBorder="1" applyAlignment="1">
      <alignment horizontal="center" vertical="center"/>
    </xf>
    <xf numFmtId="0" fontId="13" fillId="5" borderId="32" xfId="0" applyFont="1" applyFill="1" applyBorder="1" applyAlignment="1">
      <alignment horizontal="center" vertical="center"/>
    </xf>
    <xf numFmtId="0" fontId="13" fillId="5" borderId="38" xfId="0" applyFont="1" applyFill="1" applyBorder="1" applyAlignment="1">
      <alignment horizontal="center" vertical="center"/>
    </xf>
    <xf numFmtId="0" fontId="2" fillId="8" borderId="6" xfId="0" applyFont="1" applyFill="1" applyBorder="1" applyAlignment="1">
      <alignment horizontal="center" vertical="center"/>
    </xf>
    <xf numFmtId="0" fontId="2" fillId="8" borderId="0" xfId="0" applyFont="1" applyFill="1" applyAlignment="1">
      <alignment horizontal="center" vertical="center"/>
    </xf>
    <xf numFmtId="0" fontId="2" fillId="8" borderId="10" xfId="0" applyFont="1" applyFill="1" applyBorder="1" applyAlignment="1">
      <alignment horizontal="center" vertical="center"/>
    </xf>
    <xf numFmtId="0" fontId="8" fillId="2" borderId="0" xfId="0" applyFont="1" applyFill="1" applyAlignment="1">
      <alignment horizontal="center" vertical="center"/>
    </xf>
    <xf numFmtId="0" fontId="11" fillId="5" borderId="0" xfId="0" applyFont="1" applyFill="1" applyAlignment="1">
      <alignment horizontal="right" indent="1"/>
    </xf>
    <xf numFmtId="0" fontId="2" fillId="8" borderId="22" xfId="0" applyFont="1" applyFill="1" applyBorder="1" applyAlignment="1">
      <alignment horizontal="center" vertical="center"/>
    </xf>
    <xf numFmtId="0" fontId="13" fillId="5" borderId="0" xfId="0" applyFont="1" applyFill="1" applyAlignment="1">
      <alignment horizontal="center"/>
    </xf>
    <xf numFmtId="0" fontId="10" fillId="3" borderId="0" xfId="0" applyFont="1" applyFill="1" applyAlignment="1">
      <alignment horizontal="center"/>
    </xf>
    <xf numFmtId="0" fontId="5" fillId="2" borderId="0" xfId="0" applyFont="1" applyFill="1" applyAlignment="1">
      <alignment horizontal="center" vertical="center"/>
    </xf>
  </cellXfs>
  <cellStyles count="1">
    <cellStyle name="Normal" xfId="0" builtinId="0"/>
  </cellStyles>
  <dxfs count="10">
    <dxf>
      <font>
        <b val="0"/>
        <i val="0"/>
        <strike val="0"/>
        <condense val="0"/>
        <extend val="0"/>
        <outline val="0"/>
        <shadow val="0"/>
        <u val="none"/>
        <vertAlign val="baseline"/>
        <sz val="11"/>
        <color theme="1"/>
        <name val="Trebuchet MS"/>
        <family val="2"/>
        <scheme val="none"/>
      </font>
      <fill>
        <patternFill patternType="solid">
          <fgColor indexed="64"/>
          <bgColor theme="0"/>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Trebuchet MS"/>
        <family val="2"/>
        <scheme val="none"/>
      </font>
      <fill>
        <patternFill patternType="solid">
          <fgColor indexed="64"/>
          <bgColor theme="0"/>
        </patternFill>
      </fill>
    </dxf>
    <dxf>
      <font>
        <b val="0"/>
        <i val="0"/>
        <strike val="0"/>
        <condense val="0"/>
        <extend val="0"/>
        <outline val="0"/>
        <shadow val="0"/>
        <u val="none"/>
        <vertAlign val="baseline"/>
        <sz val="11"/>
        <color theme="1"/>
        <name val="Trebuchet MS"/>
        <family val="2"/>
        <scheme val="none"/>
      </font>
      <fill>
        <patternFill patternType="solid">
          <fgColor indexed="64"/>
          <bgColor theme="0"/>
        </patternFill>
      </fill>
    </dxf>
    <dxf>
      <font>
        <b val="0"/>
        <i val="0"/>
        <strike val="0"/>
        <condense val="0"/>
        <extend val="0"/>
        <outline val="0"/>
        <shadow val="0"/>
        <u val="none"/>
        <vertAlign val="baseline"/>
        <sz val="11"/>
        <color theme="1"/>
        <name val="Trebuchet MS"/>
        <family val="2"/>
        <scheme val="none"/>
      </font>
      <fill>
        <patternFill patternType="solid">
          <fgColor indexed="64"/>
          <bgColor theme="0"/>
        </patternFill>
      </fill>
    </dxf>
    <dxf>
      <font>
        <b val="0"/>
        <i val="0"/>
        <strike val="0"/>
        <condense val="0"/>
        <extend val="0"/>
        <outline val="0"/>
        <shadow val="0"/>
        <u val="none"/>
        <vertAlign val="baseline"/>
        <sz val="11"/>
        <color theme="1"/>
        <name val="Trebuchet MS"/>
        <family val="2"/>
        <scheme val="none"/>
      </font>
      <fill>
        <patternFill patternType="solid">
          <fgColor indexed="64"/>
          <bgColor theme="0"/>
        </patternFill>
      </fill>
    </dxf>
    <dxf>
      <border outline="0">
        <bottom style="medium">
          <color indexed="64"/>
        </bottom>
      </border>
    </dxf>
    <dxf>
      <font>
        <strike val="0"/>
        <outline val="0"/>
        <shadow val="0"/>
        <u val="none"/>
        <vertAlign val="baseline"/>
        <sz val="11"/>
        <color theme="1" tint="0.14999847407452621"/>
        <name val="Trebuchet MS"/>
        <family val="2"/>
        <scheme val="none"/>
      </font>
    </dxf>
    <dxf>
      <fill>
        <patternFill>
          <bgColor theme="4" tint="0.59996337778862885"/>
        </patternFill>
      </fill>
    </dxf>
    <dxf>
      <fill>
        <patternFill>
          <bgColor theme="9" tint="0.79998168889431442"/>
        </patternFill>
      </fill>
    </dxf>
    <dxf>
      <fill>
        <patternFill>
          <bgColor theme="0" tint="-0.14996795556505021"/>
        </patternFill>
      </fill>
    </dxf>
  </dxfs>
  <tableStyles count="0" defaultTableStyle="TableStyleMedium2" defaultPivotStyle="PivotStyleLight16"/>
  <colors>
    <mruColors>
      <color rgb="FF1F4E78"/>
      <color rgb="FF4472C4"/>
      <color rgb="FF538DD5"/>
      <color rgb="FFFFF2CC"/>
      <color rgb="FFA9D18E"/>
      <color rgb="FF76A5AF"/>
      <color rgb="FFA9E0B4"/>
      <color rgb="FFC00000"/>
      <color rgb="FFED7D31"/>
      <color rgb="FFF796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1/relationships/FeaturePropertyBag" Target="featurePropertyBag/feature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Weekly Running Mileage (Last 12 Weeks)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v>Total Miles</c:v>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VISUALS!$T$1:$T$13</c15:sqref>
                  </c15:fullRef>
                </c:ext>
              </c:extLst>
              <c:f>VISUALS!$T$2:$T$13</c:f>
              <c:strCache>
                <c:ptCount val="12"/>
                <c:pt idx="0">
                  <c:v>Dec 05</c:v>
                </c:pt>
                <c:pt idx="1">
                  <c:v>Nov 28</c:v>
                </c:pt>
                <c:pt idx="2">
                  <c:v>Nov 21</c:v>
                </c:pt>
                <c:pt idx="3">
                  <c:v>Nov 14</c:v>
                </c:pt>
                <c:pt idx="4">
                  <c:v>Nov 07</c:v>
                </c:pt>
                <c:pt idx="5">
                  <c:v>Oct 31</c:v>
                </c:pt>
                <c:pt idx="6">
                  <c:v>Oct 24</c:v>
                </c:pt>
                <c:pt idx="7">
                  <c:v>Oct 17</c:v>
                </c:pt>
                <c:pt idx="8">
                  <c:v>Oct 10</c:v>
                </c:pt>
                <c:pt idx="9">
                  <c:v>Oct 03</c:v>
                </c:pt>
                <c:pt idx="10">
                  <c:v>Sep 26</c:v>
                </c:pt>
                <c:pt idx="11">
                  <c:v>Sep 19</c:v>
                </c:pt>
              </c:strCache>
            </c:strRef>
          </c:cat>
          <c:val>
            <c:numRef>
              <c:extLst>
                <c:ext xmlns:c15="http://schemas.microsoft.com/office/drawing/2012/chart" uri="{02D57815-91ED-43cb-92C2-25804820EDAC}">
                  <c15:fullRef>
                    <c15:sqref>VISUALS!$S$1:$S$13</c15:sqref>
                  </c15:fullRef>
                </c:ext>
              </c:extLst>
              <c:f>VISUALS!$S$2:$S$13</c:f>
              <c:numCache>
                <c:formatCode>General</c:formatCode>
                <c:ptCount val="12"/>
                <c:pt idx="0">
                  <c:v>8.32</c:v>
                </c:pt>
                <c:pt idx="1">
                  <c:v>22.45</c:v>
                </c:pt>
                <c:pt idx="2">
                  <c:v>0</c:v>
                </c:pt>
                <c:pt idx="3">
                  <c:v>33.799999999999997</c:v>
                </c:pt>
                <c:pt idx="4">
                  <c:v>7.02</c:v>
                </c:pt>
                <c:pt idx="5">
                  <c:v>41.64</c:v>
                </c:pt>
                <c:pt idx="6">
                  <c:v>20.57</c:v>
                </c:pt>
                <c:pt idx="7">
                  <c:v>19.57</c:v>
                </c:pt>
                <c:pt idx="8">
                  <c:v>26.269999999999996</c:v>
                </c:pt>
                <c:pt idx="9">
                  <c:v>26.560000000000002</c:v>
                </c:pt>
                <c:pt idx="10">
                  <c:v>5.01</c:v>
                </c:pt>
                <c:pt idx="11">
                  <c:v>10.039999999999999</c:v>
                </c:pt>
              </c:numCache>
            </c:numRef>
          </c:val>
          <c:extLst>
            <c:ext xmlns:c16="http://schemas.microsoft.com/office/drawing/2014/chart" uri="{C3380CC4-5D6E-409C-BE32-E72D297353CC}">
              <c16:uniqueId val="{00000001-7A60-49D6-BE3F-23F5F0120BFC}"/>
            </c:ext>
          </c:extLst>
        </c:ser>
        <c:dLbls>
          <c:showLegendKey val="0"/>
          <c:showVal val="0"/>
          <c:showCatName val="0"/>
          <c:showSerName val="0"/>
          <c:showPercent val="0"/>
          <c:showBubbleSize val="0"/>
        </c:dLbls>
        <c:gapWidth val="355"/>
        <c:overlap val="-70"/>
        <c:axId val="1994339839"/>
        <c:axId val="1989321391"/>
        <c:extLst>
          <c:ext xmlns:c15="http://schemas.microsoft.com/office/drawing/2012/chart" uri="{02D57815-91ED-43cb-92C2-25804820EDAC}">
            <c15:filteredBarSeries>
              <c15:ser>
                <c:idx val="0"/>
                <c:order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Ref>
                    <c:extLst>
                      <c:ext uri="{02D57815-91ED-43cb-92C2-25804820EDAC}">
                        <c15:fullRef>
                          <c15:sqref>VISUALS!$T$1:$T$13</c15:sqref>
                        </c15:fullRef>
                        <c15:formulaRef>
                          <c15:sqref>VISUALS!$T$2:$T$13</c15:sqref>
                        </c15:formulaRef>
                      </c:ext>
                    </c:extLst>
                    <c:strCache>
                      <c:ptCount val="12"/>
                      <c:pt idx="0">
                        <c:v>Dec 05</c:v>
                      </c:pt>
                      <c:pt idx="1">
                        <c:v>Nov 28</c:v>
                      </c:pt>
                      <c:pt idx="2">
                        <c:v>Nov 21</c:v>
                      </c:pt>
                      <c:pt idx="3">
                        <c:v>Nov 14</c:v>
                      </c:pt>
                      <c:pt idx="4">
                        <c:v>Nov 07</c:v>
                      </c:pt>
                      <c:pt idx="5">
                        <c:v>Oct 31</c:v>
                      </c:pt>
                      <c:pt idx="6">
                        <c:v>Oct 24</c:v>
                      </c:pt>
                      <c:pt idx="7">
                        <c:v>Oct 17</c:v>
                      </c:pt>
                      <c:pt idx="8">
                        <c:v>Oct 10</c:v>
                      </c:pt>
                      <c:pt idx="9">
                        <c:v>Oct 03</c:v>
                      </c:pt>
                      <c:pt idx="10">
                        <c:v>Sep 26</c:v>
                      </c:pt>
                      <c:pt idx="11">
                        <c:v>Sep 19</c:v>
                      </c:pt>
                    </c:strCache>
                  </c:strRef>
                </c:cat>
                <c:val>
                  <c:numRef>
                    <c:extLst>
                      <c:ext uri="{02D57815-91ED-43cb-92C2-25804820EDAC}">
                        <c15:fullRef>
                          <c15:sqref>(VISUALS!$S$13,VISUALS!$T$13)</c15:sqref>
                        </c15:fullRef>
                        <c15:formulaRef>
                          <c15:sqref>VISUALS!$T$13</c15:sqref>
                        </c15:formulaRef>
                      </c:ext>
                    </c:extLst>
                    <c:numCache>
                      <c:formatCode>General</c:formatCode>
                      <c:ptCount val="1"/>
                      <c:pt idx="0">
                        <c:v>0</c:v>
                      </c:pt>
                    </c:numCache>
                  </c:numRef>
                </c:val>
                <c:extLst>
                  <c:ext xmlns:c16="http://schemas.microsoft.com/office/drawing/2014/chart" uri="{C3380CC4-5D6E-409C-BE32-E72D297353CC}">
                    <c16:uniqueId val="{00000000-7A60-49D6-BE3F-23F5F0120BFC}"/>
                  </c:ext>
                </c:extLst>
              </c15:ser>
            </c15:filteredBarSeries>
          </c:ext>
        </c:extLst>
      </c:barChart>
      <c:catAx>
        <c:axId val="1994339839"/>
        <c:scaling>
          <c:orientation val="maxMin"/>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Week Ending</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321391"/>
        <c:crosses val="autoZero"/>
        <c:auto val="1"/>
        <c:lblAlgn val="ctr"/>
        <c:lblOffset val="100"/>
        <c:noMultiLvlLbl val="0"/>
      </c:catAx>
      <c:valAx>
        <c:axId val="1989321391"/>
        <c:scaling>
          <c:orientation val="minMax"/>
        </c:scaling>
        <c:delete val="0"/>
        <c:axPos val="r"/>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Total Miles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4339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ACTIVITY TYPE DISTRIBUTION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v>Count</c:v>
          </c:tx>
          <c:dPt>
            <c:idx val="0"/>
            <c:bubble3D val="0"/>
            <c:explosion val="1"/>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A9D2-4EC0-B0F0-121C7244557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9D2-4EC0-B0F0-121C7244557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A9D2-4EC0-B0F0-121C7244557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A9D2-4EC0-B0F0-121C7244557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9D2-4EC0-B0F0-121C7244557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9D2-4EC0-B0F0-121C7244557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9D2-4EC0-B0F0-121C7244557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A9D2-4EC0-B0F0-121C7244557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extLst>
          </c:dLbls>
          <c:cat>
            <c:strRef>
              <c:f>VISUALS!$V$2:$V$9</c:f>
              <c:strCache>
                <c:ptCount val="8"/>
                <c:pt idx="0">
                  <c:v>Run</c:v>
                </c:pt>
                <c:pt idx="1">
                  <c:v>Walk</c:v>
                </c:pt>
                <c:pt idx="2">
                  <c:v>Hike</c:v>
                </c:pt>
                <c:pt idx="3">
                  <c:v>Bike</c:v>
                </c:pt>
                <c:pt idx="4">
                  <c:v>Weight Training</c:v>
                </c:pt>
                <c:pt idx="5">
                  <c:v>Yoga</c:v>
                </c:pt>
                <c:pt idx="6">
                  <c:v>Swimming</c:v>
                </c:pt>
                <c:pt idx="7">
                  <c:v>Other</c:v>
                </c:pt>
              </c:strCache>
            </c:strRef>
          </c:cat>
          <c:val>
            <c:numRef>
              <c:f>VISUALS!$W$2:$W$9</c:f>
              <c:numCache>
                <c:formatCode>General</c:formatCode>
                <c:ptCount val="8"/>
                <c:pt idx="0">
                  <c:v>47</c:v>
                </c:pt>
                <c:pt idx="1">
                  <c:v>13</c:v>
                </c:pt>
                <c:pt idx="2">
                  <c:v>#N/A</c:v>
                </c:pt>
                <c:pt idx="3">
                  <c:v>#N/A</c:v>
                </c:pt>
                <c:pt idx="4">
                  <c:v>1</c:v>
                </c:pt>
                <c:pt idx="5">
                  <c:v>#N/A</c:v>
                </c:pt>
                <c:pt idx="6">
                  <c:v>#N/A</c:v>
                </c:pt>
                <c:pt idx="7">
                  <c:v>#N/A</c:v>
                </c:pt>
              </c:numCache>
            </c:numRef>
          </c:val>
          <c:extLst>
            <c:ext xmlns:c16="http://schemas.microsoft.com/office/drawing/2014/chart" uri="{C3380CC4-5D6E-409C-BE32-E72D297353CC}">
              <c16:uniqueId val="{00000000-A9D2-4EC0-B0F0-121C72445572}"/>
            </c:ext>
          </c:extLst>
        </c:ser>
        <c:dLbls>
          <c:dLblPos val="ctr"/>
          <c:showLegendKey val="0"/>
          <c:showVal val="1"/>
          <c:showCatName val="0"/>
          <c:showSerName val="0"/>
          <c:showPercent val="0"/>
          <c:showBubbleSize val="0"/>
          <c:showLeaderLines val="0"/>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Pace Improvement Trend</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Average Pace</c:v>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a:effectLst/>
            </c:spPr>
            <c:trendlineType val="linear"/>
            <c:dispRSqr val="0"/>
            <c:dispEq val="0"/>
          </c:trendline>
          <c:cat>
            <c:numRef>
              <c:f>[0]!WeeksWithData</c:f>
              <c:numCache>
                <c:formatCode>m/d;@</c:formatCode>
                <c:ptCount val="11"/>
                <c:pt idx="0">
                  <c:v>45996</c:v>
                </c:pt>
                <c:pt idx="1">
                  <c:v>45989</c:v>
                </c:pt>
                <c:pt idx="2">
                  <c:v>45975</c:v>
                </c:pt>
                <c:pt idx="3">
                  <c:v>45968</c:v>
                </c:pt>
                <c:pt idx="4">
                  <c:v>45961</c:v>
                </c:pt>
                <c:pt idx="5">
                  <c:v>45954</c:v>
                </c:pt>
                <c:pt idx="6">
                  <c:v>45947</c:v>
                </c:pt>
                <c:pt idx="7">
                  <c:v>45940</c:v>
                </c:pt>
                <c:pt idx="8">
                  <c:v>45933</c:v>
                </c:pt>
                <c:pt idx="9">
                  <c:v>45926</c:v>
                </c:pt>
                <c:pt idx="10">
                  <c:v>45919</c:v>
                </c:pt>
              </c:numCache>
            </c:numRef>
          </c:cat>
          <c:val>
            <c:numRef>
              <c:f>[0]!PaceWithData</c:f>
              <c:numCache>
                <c:formatCode>[h]:mm:ss</c:formatCode>
                <c:ptCount val="11"/>
                <c:pt idx="0">
                  <c:v>6.5624999999999998E-3</c:v>
                </c:pt>
                <c:pt idx="1">
                  <c:v>7.2762345679012351E-3</c:v>
                </c:pt>
                <c:pt idx="2">
                  <c:v>6.9656635802469134E-3</c:v>
                </c:pt>
                <c:pt idx="3">
                  <c:v>6.6782407407407407E-3</c:v>
                </c:pt>
                <c:pt idx="4">
                  <c:v>7.262731481481482E-3</c:v>
                </c:pt>
                <c:pt idx="5">
                  <c:v>6.7939814814814816E-3</c:v>
                </c:pt>
                <c:pt idx="6">
                  <c:v>7.083333333333333E-3</c:v>
                </c:pt>
                <c:pt idx="7">
                  <c:v>7.3402777777777772E-3</c:v>
                </c:pt>
                <c:pt idx="8">
                  <c:v>7.0399305555555562E-3</c:v>
                </c:pt>
                <c:pt idx="9">
                  <c:v>7.1296296296296299E-3</c:v>
                </c:pt>
                <c:pt idx="10">
                  <c:v>6.4670138888888885E-3</c:v>
                </c:pt>
              </c:numCache>
            </c:numRef>
          </c:val>
          <c:smooth val="0"/>
          <c:extLst>
            <c:ext xmlns:c16="http://schemas.microsoft.com/office/drawing/2014/chart" uri="{C3380CC4-5D6E-409C-BE32-E72D297353CC}">
              <c16:uniqueId val="{00000000-1622-438C-902C-D8EB1C76522F}"/>
            </c:ext>
          </c:extLst>
        </c:ser>
        <c:dLbls>
          <c:showLegendKey val="0"/>
          <c:showVal val="1"/>
          <c:showCatName val="0"/>
          <c:showSerName val="0"/>
          <c:showPercent val="0"/>
          <c:showBubbleSize val="0"/>
        </c:dLbls>
        <c:marker val="1"/>
        <c:smooth val="0"/>
        <c:axId val="149364671"/>
        <c:axId val="149367071"/>
      </c:lineChart>
      <c:dateAx>
        <c:axId val="149364671"/>
        <c:scaling>
          <c:orientation val="minMax"/>
        </c:scaling>
        <c:delete val="1"/>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Week ENDING</a:t>
                </a:r>
              </a:p>
            </c:rich>
          </c:tx>
          <c:layout>
            <c:manualLayout>
              <c:xMode val="edge"/>
              <c:yMode val="edge"/>
              <c:x val="0.46378782830319937"/>
              <c:y val="0.90768811717920705"/>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m/d;@" sourceLinked="1"/>
        <c:majorTickMark val="out"/>
        <c:minorTickMark val="none"/>
        <c:tickLblPos val="nextTo"/>
        <c:crossAx val="149367071"/>
        <c:crosses val="autoZero"/>
        <c:auto val="1"/>
        <c:lblOffset val="100"/>
        <c:baseTimeUnit val="days"/>
      </c:dateAx>
      <c:valAx>
        <c:axId val="149367071"/>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Pace (min/mile)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h]:mm:ss"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64671"/>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Monthly Running Mileage (Last 6 Months) </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VISUALS!$R$31:$R$36</c:f>
              <c:strCache>
                <c:ptCount val="6"/>
                <c:pt idx="0">
                  <c:v>Dec 2025</c:v>
                </c:pt>
                <c:pt idx="1">
                  <c:v>Nov 2025</c:v>
                </c:pt>
                <c:pt idx="2">
                  <c:v>Oct 2025</c:v>
                </c:pt>
                <c:pt idx="3">
                  <c:v>Sep 2025</c:v>
                </c:pt>
                <c:pt idx="4">
                  <c:v>Aug 2025</c:v>
                </c:pt>
                <c:pt idx="5">
                  <c:v>Jul 2025</c:v>
                </c:pt>
              </c:strCache>
            </c:strRef>
          </c:cat>
          <c:val>
            <c:numRef>
              <c:f>VISUALS!$S$31:$S$36</c:f>
              <c:numCache>
                <c:formatCode>General</c:formatCode>
                <c:ptCount val="6"/>
                <c:pt idx="0">
                  <c:v>8.32</c:v>
                </c:pt>
                <c:pt idx="1">
                  <c:v>63.269999999999996</c:v>
                </c:pt>
                <c:pt idx="2">
                  <c:v>116.39000000000003</c:v>
                </c:pt>
                <c:pt idx="3">
                  <c:v>55.829999999999984</c:v>
                </c:pt>
                <c:pt idx="4">
                  <c:v>2.0099999999999998</c:v>
                </c:pt>
                <c:pt idx="5">
                  <c:v>0</c:v>
                </c:pt>
              </c:numCache>
            </c:numRef>
          </c:val>
          <c:extLst>
            <c:ext xmlns:c16="http://schemas.microsoft.com/office/drawing/2014/chart" uri="{C3380CC4-5D6E-409C-BE32-E72D297353CC}">
              <c16:uniqueId val="{00000000-4C64-42CA-9FEA-415048691D06}"/>
            </c:ext>
          </c:extLst>
        </c:ser>
        <c:dLbls>
          <c:showLegendKey val="0"/>
          <c:showVal val="0"/>
          <c:showCatName val="0"/>
          <c:showSerName val="0"/>
          <c:showPercent val="0"/>
          <c:showBubbleSize val="0"/>
        </c:dLbls>
        <c:gapWidth val="355"/>
        <c:overlap val="-70"/>
        <c:axId val="1642289759"/>
        <c:axId val="1642291199"/>
      </c:barChart>
      <c:catAx>
        <c:axId val="1642289759"/>
        <c:scaling>
          <c:orientation val="maxMin"/>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291199"/>
        <c:crosses val="autoZero"/>
        <c:auto val="1"/>
        <c:lblAlgn val="ctr"/>
        <c:lblOffset val="100"/>
        <c:noMultiLvlLbl val="0"/>
      </c:catAx>
      <c:valAx>
        <c:axId val="1642291199"/>
        <c:scaling>
          <c:orientation val="minMax"/>
        </c:scaling>
        <c:delete val="0"/>
        <c:axPos val="r"/>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Total Miles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289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latin typeface="Calibri" panose="020F0502020204030204" pitchFamily="34" charset="0"/>
                <a:ea typeface="Calibri" panose="020F0502020204030204" pitchFamily="34" charset="0"/>
                <a:cs typeface="Calibri" panose="020F0502020204030204" pitchFamily="34" charset="0"/>
              </a:rPr>
              <a:t>WEEKLY ELEVATION GAIN (LAST 12 WEEKS)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5400000" scaled="1"/>
              <a:tileRect/>
            </a:gradFill>
            <a:ln w="31750">
              <a:solidFill>
                <a:srgbClr val="A9D18E"/>
              </a:solidFill>
            </a:ln>
            <a:effectLst/>
          </c:spPr>
          <c:cat>
            <c:numRef>
              <c:f>VISUALS!$R$40:$R$51</c:f>
              <c:numCache>
                <c:formatCode>m/d;@</c:formatCode>
                <c:ptCount val="12"/>
                <c:pt idx="0">
                  <c:v>45996</c:v>
                </c:pt>
                <c:pt idx="1">
                  <c:v>45989</c:v>
                </c:pt>
                <c:pt idx="2">
                  <c:v>45982</c:v>
                </c:pt>
                <c:pt idx="3">
                  <c:v>45975</c:v>
                </c:pt>
                <c:pt idx="4">
                  <c:v>45968</c:v>
                </c:pt>
                <c:pt idx="5">
                  <c:v>45961</c:v>
                </c:pt>
                <c:pt idx="6">
                  <c:v>45954</c:v>
                </c:pt>
                <c:pt idx="7">
                  <c:v>45947</c:v>
                </c:pt>
                <c:pt idx="8">
                  <c:v>45940</c:v>
                </c:pt>
                <c:pt idx="9">
                  <c:v>45933</c:v>
                </c:pt>
                <c:pt idx="10">
                  <c:v>45926</c:v>
                </c:pt>
                <c:pt idx="11">
                  <c:v>45919</c:v>
                </c:pt>
              </c:numCache>
            </c:numRef>
          </c:cat>
          <c:val>
            <c:numRef>
              <c:f>VISUALS!$S$40:$S$51</c:f>
              <c:numCache>
                <c:formatCode>General</c:formatCode>
                <c:ptCount val="12"/>
                <c:pt idx="0">
                  <c:v>390</c:v>
                </c:pt>
                <c:pt idx="1">
                  <c:v>643</c:v>
                </c:pt>
                <c:pt idx="2">
                  <c:v>0</c:v>
                </c:pt>
                <c:pt idx="3">
                  <c:v>853</c:v>
                </c:pt>
                <c:pt idx="4">
                  <c:v>75</c:v>
                </c:pt>
                <c:pt idx="5">
                  <c:v>640</c:v>
                </c:pt>
                <c:pt idx="6">
                  <c:v>439</c:v>
                </c:pt>
                <c:pt idx="7">
                  <c:v>239</c:v>
                </c:pt>
                <c:pt idx="8">
                  <c:v>418</c:v>
                </c:pt>
                <c:pt idx="9">
                  <c:v>555</c:v>
                </c:pt>
                <c:pt idx="10">
                  <c:v>141</c:v>
                </c:pt>
                <c:pt idx="11">
                  <c:v>544</c:v>
                </c:pt>
              </c:numCache>
            </c:numRef>
          </c:val>
          <c:extLst>
            <c:ext xmlns:c16="http://schemas.microsoft.com/office/drawing/2014/chart" uri="{C3380CC4-5D6E-409C-BE32-E72D297353CC}">
              <c16:uniqueId val="{00000000-9728-4829-A8A2-53A3AFA2122F}"/>
            </c:ext>
          </c:extLst>
        </c:ser>
        <c:dLbls>
          <c:showLegendKey val="0"/>
          <c:showVal val="0"/>
          <c:showCatName val="0"/>
          <c:showSerName val="0"/>
          <c:showPercent val="0"/>
          <c:showBubbleSize val="0"/>
        </c:dLbls>
        <c:axId val="1678844991"/>
        <c:axId val="1678832991"/>
      </c:areaChart>
      <c:dateAx>
        <c:axId val="16788449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WEEK ENDING</a:t>
                </a:r>
              </a:p>
            </c:rich>
          </c:tx>
          <c:layout>
            <c:manualLayout>
              <c:xMode val="edge"/>
              <c:yMode val="edge"/>
              <c:x val="0.41454865016872888"/>
              <c:y val="0.9076881171792070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8832991"/>
        <c:crosses val="autoZero"/>
        <c:auto val="1"/>
        <c:lblOffset val="100"/>
        <c:baseTimeUnit val="days"/>
      </c:dateAx>
      <c:valAx>
        <c:axId val="1678832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ELEVATION GAIN (FT)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884499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EFFORT LEVEL DISTRIBUTION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VISUALS!$W$40:$W$49</c:f>
              <c:strCache>
                <c:ptCount val="10"/>
                <c:pt idx="0">
                  <c:v>5</c:v>
                </c:pt>
                <c:pt idx="1">
                  <c:v>4</c:v>
                </c:pt>
                <c:pt idx="2">
                  <c:v>1</c:v>
                </c:pt>
                <c:pt idx="3">
                  <c:v>11</c:v>
                </c:pt>
                <c:pt idx="4">
                  <c:v>9</c:v>
                </c:pt>
                <c:pt idx="5">
                  <c:v>6</c:v>
                </c:pt>
                <c:pt idx="6">
                  <c:v>10</c:v>
                </c:pt>
                <c:pt idx="7">
                  <c:v>11</c:v>
                </c:pt>
                <c:pt idx="8">
                  <c:v>3</c:v>
                </c:pt>
                <c:pt idx="9">
                  <c:v>1</c:v>
                </c:pt>
              </c:strCache>
            </c:strRef>
          </c:tx>
          <c:spPr>
            <a:solidFill>
              <a:schemeClr val="accent1"/>
            </a:solidFill>
            <a:ln>
              <a:noFill/>
            </a:ln>
            <a:effectLst/>
          </c:spPr>
          <c:invertIfNegative val="0"/>
          <c:dPt>
            <c:idx val="0"/>
            <c:invertIfNegative val="0"/>
            <c:bubble3D val="0"/>
            <c:spPr>
              <a:solidFill>
                <a:srgbClr val="4472C4"/>
              </a:solidFill>
              <a:ln>
                <a:noFill/>
              </a:ln>
              <a:effectLst/>
            </c:spPr>
            <c:extLst>
              <c:ext xmlns:c16="http://schemas.microsoft.com/office/drawing/2014/chart" uri="{C3380CC4-5D6E-409C-BE32-E72D297353CC}">
                <c16:uniqueId val="{00000003-3FB6-4CD2-AEFC-9AD415A71B15}"/>
              </c:ext>
            </c:extLst>
          </c:dPt>
          <c:dPt>
            <c:idx val="1"/>
            <c:invertIfNegative val="0"/>
            <c:bubble3D val="0"/>
            <c:spPr>
              <a:solidFill>
                <a:srgbClr val="538DD5"/>
              </a:solidFill>
              <a:ln>
                <a:noFill/>
              </a:ln>
              <a:effectLst/>
            </c:spPr>
            <c:extLst>
              <c:ext xmlns:c16="http://schemas.microsoft.com/office/drawing/2014/chart" uri="{C3380CC4-5D6E-409C-BE32-E72D297353CC}">
                <c16:uniqueId val="{00000004-3FB6-4CD2-AEFC-9AD415A71B15}"/>
              </c:ext>
            </c:extLst>
          </c:dPt>
          <c:dPt>
            <c:idx val="2"/>
            <c:invertIfNegative val="0"/>
            <c:bubble3D val="0"/>
            <c:spPr>
              <a:solidFill>
                <a:srgbClr val="76A5AF"/>
              </a:solidFill>
              <a:ln>
                <a:noFill/>
              </a:ln>
              <a:effectLst/>
            </c:spPr>
            <c:extLst>
              <c:ext xmlns:c16="http://schemas.microsoft.com/office/drawing/2014/chart" uri="{C3380CC4-5D6E-409C-BE32-E72D297353CC}">
                <c16:uniqueId val="{00000005-3FB6-4CD2-AEFC-9AD415A71B15}"/>
              </c:ext>
            </c:extLst>
          </c:dPt>
          <c:dPt>
            <c:idx val="3"/>
            <c:invertIfNegative val="0"/>
            <c:bubble3D val="0"/>
            <c:spPr>
              <a:solidFill>
                <a:srgbClr val="A9D18E"/>
              </a:solidFill>
              <a:ln>
                <a:noFill/>
              </a:ln>
              <a:effectLst/>
            </c:spPr>
            <c:extLst>
              <c:ext xmlns:c16="http://schemas.microsoft.com/office/drawing/2014/chart" uri="{C3380CC4-5D6E-409C-BE32-E72D297353CC}">
                <c16:uniqueId val="{00000006-3FB6-4CD2-AEFC-9AD415A71B15}"/>
              </c:ext>
            </c:extLst>
          </c:dPt>
          <c:dPt>
            <c:idx val="4"/>
            <c:invertIfNegative val="0"/>
            <c:bubble3D val="0"/>
            <c:spPr>
              <a:solidFill>
                <a:srgbClr val="A9E0B4"/>
              </a:solidFill>
              <a:ln>
                <a:noFill/>
              </a:ln>
              <a:effectLst/>
            </c:spPr>
            <c:extLst>
              <c:ext xmlns:c16="http://schemas.microsoft.com/office/drawing/2014/chart" uri="{C3380CC4-5D6E-409C-BE32-E72D297353CC}">
                <c16:uniqueId val="{00000007-3FB6-4CD2-AEFC-9AD415A71B15}"/>
              </c:ext>
            </c:extLst>
          </c:dPt>
          <c:dPt>
            <c:idx val="5"/>
            <c:invertIfNegative val="0"/>
            <c:bubble3D val="0"/>
            <c:spPr>
              <a:solidFill>
                <a:srgbClr val="E1E699"/>
              </a:solidFill>
              <a:ln>
                <a:noFill/>
              </a:ln>
              <a:effectLst/>
            </c:spPr>
            <c:extLst>
              <c:ext xmlns:c16="http://schemas.microsoft.com/office/drawing/2014/chart" uri="{C3380CC4-5D6E-409C-BE32-E72D297353CC}">
                <c16:uniqueId val="{00000008-3FB6-4CD2-AEFC-9AD415A71B15}"/>
              </c:ext>
            </c:extLst>
          </c:dPt>
          <c:dPt>
            <c:idx val="6"/>
            <c:invertIfNegative val="0"/>
            <c:bubble3D val="0"/>
            <c:spPr>
              <a:solidFill>
                <a:srgbClr val="FFC000"/>
              </a:solidFill>
              <a:ln>
                <a:noFill/>
              </a:ln>
              <a:effectLst/>
            </c:spPr>
            <c:extLst>
              <c:ext xmlns:c16="http://schemas.microsoft.com/office/drawing/2014/chart" uri="{C3380CC4-5D6E-409C-BE32-E72D297353CC}">
                <c16:uniqueId val="{00000009-3FB6-4CD2-AEFC-9AD415A71B15}"/>
              </c:ext>
            </c:extLst>
          </c:dPt>
          <c:dPt>
            <c:idx val="7"/>
            <c:invertIfNegative val="0"/>
            <c:bubble3D val="0"/>
            <c:spPr>
              <a:solidFill>
                <a:srgbClr val="F79646"/>
              </a:solidFill>
              <a:ln>
                <a:noFill/>
              </a:ln>
              <a:effectLst/>
            </c:spPr>
            <c:extLst>
              <c:ext xmlns:c16="http://schemas.microsoft.com/office/drawing/2014/chart" uri="{C3380CC4-5D6E-409C-BE32-E72D297353CC}">
                <c16:uniqueId val="{0000000A-3FB6-4CD2-AEFC-9AD415A71B15}"/>
              </c:ext>
            </c:extLst>
          </c:dPt>
          <c:dPt>
            <c:idx val="8"/>
            <c:invertIfNegative val="0"/>
            <c:bubble3D val="0"/>
            <c:spPr>
              <a:solidFill>
                <a:srgbClr val="ED7D31"/>
              </a:solidFill>
              <a:ln>
                <a:noFill/>
              </a:ln>
              <a:effectLst/>
            </c:spPr>
            <c:extLst>
              <c:ext xmlns:c16="http://schemas.microsoft.com/office/drawing/2014/chart" uri="{C3380CC4-5D6E-409C-BE32-E72D297353CC}">
                <c16:uniqueId val="{0000000B-3FB6-4CD2-AEFC-9AD415A71B15}"/>
              </c:ext>
            </c:extLst>
          </c:dPt>
          <c:dPt>
            <c:idx val="9"/>
            <c:invertIfNegative val="0"/>
            <c:bubble3D val="0"/>
            <c:spPr>
              <a:solidFill>
                <a:srgbClr val="C00000"/>
              </a:solidFill>
              <a:ln>
                <a:noFill/>
              </a:ln>
              <a:effectLst/>
            </c:spPr>
            <c:extLst>
              <c:ext xmlns:c16="http://schemas.microsoft.com/office/drawing/2014/chart" uri="{C3380CC4-5D6E-409C-BE32-E72D297353CC}">
                <c16:uniqueId val="{0000000C-3FB6-4CD2-AEFC-9AD415A71B15}"/>
              </c:ext>
            </c:extLst>
          </c:dPt>
          <c:val>
            <c:numRef>
              <c:f>VISUALS!$W$40:$W$49</c:f>
              <c:numCache>
                <c:formatCode>General</c:formatCode>
                <c:ptCount val="10"/>
                <c:pt idx="0">
                  <c:v>5</c:v>
                </c:pt>
                <c:pt idx="1">
                  <c:v>4</c:v>
                </c:pt>
                <c:pt idx="2">
                  <c:v>1</c:v>
                </c:pt>
                <c:pt idx="3">
                  <c:v>11</c:v>
                </c:pt>
                <c:pt idx="4">
                  <c:v>9</c:v>
                </c:pt>
                <c:pt idx="5">
                  <c:v>6</c:v>
                </c:pt>
                <c:pt idx="6">
                  <c:v>10</c:v>
                </c:pt>
                <c:pt idx="7">
                  <c:v>11</c:v>
                </c:pt>
                <c:pt idx="8">
                  <c:v>3</c:v>
                </c:pt>
                <c:pt idx="9">
                  <c:v>1</c:v>
                </c:pt>
              </c:numCache>
            </c:numRef>
          </c:val>
          <c:extLst>
            <c:ext xmlns:c16="http://schemas.microsoft.com/office/drawing/2014/chart" uri="{C3380CC4-5D6E-409C-BE32-E72D297353CC}">
              <c16:uniqueId val="{00000002-3FB6-4CD2-AEFC-9AD415A71B15}"/>
            </c:ext>
          </c:extLst>
        </c:ser>
        <c:dLbls>
          <c:showLegendKey val="0"/>
          <c:showVal val="0"/>
          <c:showCatName val="0"/>
          <c:showSerName val="0"/>
          <c:showPercent val="0"/>
          <c:showBubbleSize val="0"/>
        </c:dLbls>
        <c:gapWidth val="219"/>
        <c:overlap val="-27"/>
        <c:axId val="2067618975"/>
        <c:axId val="2067617055"/>
      </c:barChart>
      <c:catAx>
        <c:axId val="20676189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EFFORT LEVEL (1=EASY,</a:t>
                </a:r>
                <a:r>
                  <a:rPr lang="en-US" baseline="0"/>
                  <a:t> 10=MAX)</a:t>
                </a:r>
                <a:endParaRPr lang="en-US"/>
              </a:p>
            </c:rich>
          </c:tx>
          <c:layout>
            <c:manualLayout>
              <c:xMode val="edge"/>
              <c:yMode val="edge"/>
              <c:x val="0.27727981028697662"/>
              <c:y val="0.90841402965720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617055"/>
        <c:crosses val="autoZero"/>
        <c:auto val="1"/>
        <c:lblAlgn val="ctr"/>
        <c:lblOffset val="100"/>
        <c:noMultiLvlLbl val="0"/>
      </c:catAx>
      <c:valAx>
        <c:axId val="20676170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ACTIVITIES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618975"/>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1</xdr:col>
      <xdr:colOff>56029</xdr:colOff>
      <xdr:row>2</xdr:row>
      <xdr:rowOff>22412</xdr:rowOff>
    </xdr:from>
    <xdr:ext cx="7922558" cy="6006353"/>
    <xdr:sp macro="" textlink="">
      <xdr:nvSpPr>
        <xdr:cNvPr id="2" name="TextBox 1">
          <a:extLst>
            <a:ext uri="{FF2B5EF4-FFF2-40B4-BE49-F238E27FC236}">
              <a16:creationId xmlns:a16="http://schemas.microsoft.com/office/drawing/2014/main" id="{763E9369-FD6D-9B4D-940D-8F798555520F}"/>
            </a:ext>
          </a:extLst>
        </xdr:cNvPr>
        <xdr:cNvSpPr txBox="1"/>
      </xdr:nvSpPr>
      <xdr:spPr>
        <a:xfrm>
          <a:off x="2364441" y="593912"/>
          <a:ext cx="7922558" cy="60063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latin typeface="Trebuchet MS" panose="020B0603020202020204" pitchFamily="34" charset="0"/>
            </a:rPr>
            <a:t>Welcome to your comprehensive Running Tracker! I hope, like me, you can use this workbook to help you train smarter, track your progress, and achieve your goals. </a:t>
          </a:r>
          <a:r>
            <a:rPr lang="en-US" sz="1200" b="1" i="1">
              <a:latin typeface="Trebuchet MS" panose="020B0603020202020204" pitchFamily="34" charset="0"/>
            </a:rPr>
            <a:t>Designed by runners, for</a:t>
          </a:r>
          <a:r>
            <a:rPr lang="en-US" sz="1200" b="1" i="1" baseline="0">
              <a:latin typeface="Trebuchet MS" panose="020B0603020202020204" pitchFamily="34" charset="0"/>
            </a:rPr>
            <a:t> runners :)</a:t>
          </a:r>
          <a:br>
            <a:rPr lang="en-US" sz="1200">
              <a:latin typeface="Trebuchet MS" panose="020B0603020202020204" pitchFamily="34" charset="0"/>
            </a:rPr>
          </a:br>
          <a:br>
            <a:rPr lang="en-US" sz="1200">
              <a:latin typeface="Trebuchet MS" panose="020B0603020202020204" pitchFamily="34" charset="0"/>
            </a:rPr>
          </a:br>
          <a:r>
            <a:rPr lang="en-US" sz="1200" b="1" u="sng">
              <a:latin typeface="Trebuchet MS" panose="020B0603020202020204" pitchFamily="34" charset="0"/>
            </a:rPr>
            <a:t>OVERVIEW</a:t>
          </a:r>
          <a:r>
            <a:rPr lang="en-US" sz="1200" b="1" u="sng" baseline="0">
              <a:latin typeface="Trebuchet MS" panose="020B0603020202020204" pitchFamily="34" charset="0"/>
            </a:rPr>
            <a:t> OF THE TRACKER (PAGES)</a:t>
          </a:r>
          <a:r>
            <a:rPr lang="en-US" sz="1200" baseline="0">
              <a:latin typeface="Trebuchet MS" panose="020B0603020202020204" pitchFamily="34" charset="0"/>
            </a:rPr>
            <a:t>:</a:t>
          </a:r>
        </a:p>
        <a:p>
          <a:endParaRPr lang="en-US" sz="1200" baseline="0">
            <a:latin typeface="Trebuchet MS" panose="020B0603020202020204" pitchFamily="34" charset="0"/>
          </a:endParaRPr>
        </a:p>
        <a:p>
          <a:r>
            <a:rPr lang="en-US" sz="1200" baseline="0">
              <a:latin typeface="Trebuchet MS" panose="020B0603020202020204" pitchFamily="34" charset="0"/>
            </a:rPr>
            <a:t>- </a:t>
          </a:r>
          <a:r>
            <a:rPr lang="en-US" sz="1200" b="1" baseline="0">
              <a:latin typeface="Trebuchet MS" panose="020B0603020202020204" pitchFamily="34" charset="0"/>
            </a:rPr>
            <a:t>TRAINING SPECS</a:t>
          </a:r>
          <a:r>
            <a:rPr lang="en-US" sz="1200" baseline="0">
              <a:latin typeface="Trebuchet MS" panose="020B0603020202020204" pitchFamily="34" charset="0"/>
            </a:rPr>
            <a:t> &gt;&gt; Define your race goals and race day details so you get a sense of what you need to focus on in training</a:t>
          </a:r>
        </a:p>
        <a:p>
          <a:r>
            <a:rPr lang="en-US" sz="1200" baseline="0">
              <a:latin typeface="Trebuchet MS" panose="020B0603020202020204" pitchFamily="34" charset="0"/>
            </a:rPr>
            <a:t>- </a:t>
          </a:r>
          <a:r>
            <a:rPr lang="en-US" sz="1200" b="1" baseline="0">
              <a:latin typeface="Trebuchet MS" panose="020B0603020202020204" pitchFamily="34" charset="0"/>
            </a:rPr>
            <a:t>PLAN</a:t>
          </a:r>
          <a:r>
            <a:rPr lang="en-US" sz="1200" baseline="0">
              <a:latin typeface="Trebuchet MS" panose="020B0603020202020204" pitchFamily="34" charset="0"/>
            </a:rPr>
            <a:t> &gt;&gt; Craft and/or input your training plan, even accounting for nutrition planning and other considerations for that run</a:t>
          </a:r>
        </a:p>
        <a:p>
          <a:r>
            <a:rPr lang="en-US" sz="1200" baseline="0">
              <a:latin typeface="Trebuchet MS" panose="020B0603020202020204" pitchFamily="34" charset="0"/>
            </a:rPr>
            <a:t>- </a:t>
          </a:r>
          <a:r>
            <a:rPr lang="en-US" sz="1200" b="1" baseline="0">
              <a:latin typeface="Trebuchet MS" panose="020B0603020202020204" pitchFamily="34" charset="0"/>
            </a:rPr>
            <a:t>DATA</a:t>
          </a:r>
          <a:r>
            <a:rPr lang="en-US" sz="1200" b="0" baseline="0">
              <a:latin typeface="Trebuchet MS" panose="020B0603020202020204" pitchFamily="34" charset="0"/>
            </a:rPr>
            <a:t> &gt;&gt; Log all your activities here! Other sections of the workbook will pull from this data</a:t>
          </a:r>
        </a:p>
        <a:p>
          <a:r>
            <a:rPr lang="en-US" sz="1200" b="0" baseline="0">
              <a:latin typeface="Trebuchet MS" panose="020B0603020202020204" pitchFamily="34" charset="0"/>
            </a:rPr>
            <a:t>- </a:t>
          </a:r>
          <a:r>
            <a:rPr lang="en-US" sz="1200" b="1" baseline="0">
              <a:latin typeface="Trebuchet MS" panose="020B0603020202020204" pitchFamily="34" charset="0"/>
            </a:rPr>
            <a:t>GOAL TRACKING</a:t>
          </a:r>
          <a:r>
            <a:rPr lang="en-US" sz="1200" b="0" baseline="0">
              <a:latin typeface="Trebuchet MS" panose="020B0603020202020204" pitchFamily="34" charset="0"/>
            </a:rPr>
            <a:t> &gt;&gt; Set and monitor various training goals you may have</a:t>
          </a:r>
        </a:p>
        <a:p>
          <a:r>
            <a:rPr lang="en-US" sz="1200" b="0" baseline="0">
              <a:latin typeface="Trebuchet MS" panose="020B0603020202020204" pitchFamily="34" charset="0"/>
            </a:rPr>
            <a:t>- </a:t>
          </a:r>
          <a:r>
            <a:rPr lang="en-US" sz="1200" b="1" baseline="0">
              <a:latin typeface="Trebuchet MS" panose="020B0603020202020204" pitchFamily="34" charset="0"/>
            </a:rPr>
            <a:t>VISUALS</a:t>
          </a:r>
          <a:r>
            <a:rPr lang="en-US" sz="1200" b="0" baseline="0">
              <a:latin typeface="Trebuchet MS" panose="020B0603020202020204" pitchFamily="34" charset="0"/>
            </a:rPr>
            <a:t> &gt;&gt; Automatically view your statistics over six different areas</a:t>
          </a:r>
        </a:p>
        <a:p>
          <a:r>
            <a:rPr lang="en-US" sz="1200" b="0" baseline="0">
              <a:latin typeface="Trebuchet MS" panose="020B0603020202020204" pitchFamily="34" charset="0"/>
            </a:rPr>
            <a:t>- </a:t>
          </a:r>
          <a:r>
            <a:rPr lang="en-US" sz="1200" b="1" baseline="0">
              <a:latin typeface="Trebuchet MS" panose="020B0603020202020204" pitchFamily="34" charset="0"/>
            </a:rPr>
            <a:t>HOW TO USE</a:t>
          </a:r>
          <a:r>
            <a:rPr lang="en-US" sz="1200" b="0" baseline="0">
              <a:latin typeface="Trebuchet MS" panose="020B0603020202020204" pitchFamily="34" charset="0"/>
            </a:rPr>
            <a:t> &gt;&gt; You are here now! Reference this area if something does not make sense.</a:t>
          </a:r>
        </a:p>
        <a:p>
          <a:endParaRPr lang="en-US" sz="1200" b="0" baseline="0">
            <a:latin typeface="Trebuchet MS" panose="020B0603020202020204" pitchFamily="34" charset="0"/>
          </a:endParaRPr>
        </a:p>
        <a:p>
          <a:r>
            <a:rPr lang="en-US" sz="1200" b="1" u="sng" baseline="0">
              <a:latin typeface="Trebuchet MS" panose="020B0603020202020204" pitchFamily="34" charset="0"/>
            </a:rPr>
            <a:t>SYSTEM REQUIREMENTS</a:t>
          </a:r>
          <a:r>
            <a:rPr lang="en-US" sz="1200" b="0" baseline="0">
              <a:latin typeface="Trebuchet MS" panose="020B0603020202020204" pitchFamily="34" charset="0"/>
            </a:rPr>
            <a:t>:</a:t>
          </a:r>
        </a:p>
        <a:p>
          <a:endParaRPr lang="en-US" sz="1200" b="0" baseline="0">
            <a:latin typeface="Trebuchet MS" panose="020B0603020202020204" pitchFamily="34" charset="0"/>
          </a:endParaRPr>
        </a:p>
        <a:p>
          <a:r>
            <a:rPr lang="en-US" sz="1200" b="0" baseline="0">
              <a:latin typeface="Trebuchet MS" panose="020B0603020202020204" pitchFamily="34" charset="0"/>
            </a:rPr>
            <a:t>- Microsoft Excel 2016 or later (Excel 365 recommended)</a:t>
          </a:r>
        </a:p>
        <a:p>
          <a:r>
            <a:rPr lang="en-US" sz="1200" b="0" baseline="0">
              <a:latin typeface="Trebuchet MS" panose="020B0603020202020204" pitchFamily="34" charset="0"/>
            </a:rPr>
            <a:t>- Macros must be enabled for the "Add Activity" button and sorting selectors to work in DATA. If this is not an option for you, you can manually insert into the table.</a:t>
          </a:r>
        </a:p>
        <a:p>
          <a:r>
            <a:rPr lang="en-US" sz="1200" b="0" baseline="0">
              <a:latin typeface="Trebuchet MS" panose="020B0603020202020204" pitchFamily="34" charset="0"/>
            </a:rPr>
            <a:t>- Save file as .xlsm (Excel Macro-Enabled Workbook)... yes, we're fancy here using fancy excel</a:t>
          </a:r>
        </a:p>
        <a:p>
          <a:endParaRPr lang="en-US" sz="1200" b="0" baseline="0">
            <a:latin typeface="Trebuchet MS" panose="020B0603020202020204" pitchFamily="34" charset="0"/>
          </a:endParaRPr>
        </a:p>
        <a:p>
          <a:r>
            <a:rPr lang="en-US" sz="1200" b="1" u="sng" baseline="0">
              <a:latin typeface="Trebuchet MS" panose="020B0603020202020204" pitchFamily="34" charset="0"/>
            </a:rPr>
            <a:t>ENABLING MACROS</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When you first open this file, you may see a yellow security warning bar at the top. Click "Enable Content" to allow the workbook's automated features to work properly (in the DATA sheet).</a:t>
          </a:r>
        </a:p>
        <a:p>
          <a:endParaRPr lang="en-US" sz="1200" b="1" u="sng" baseline="0">
            <a:latin typeface="Trebuchet MS" panose="020B0603020202020204" pitchFamily="34" charset="0"/>
          </a:endParaRPr>
        </a:p>
        <a:p>
          <a:r>
            <a:rPr lang="en-US" sz="1200" b="1" u="sng" baseline="0">
              <a:latin typeface="Trebuchet MS" panose="020B0603020202020204" pitchFamily="34" charset="0"/>
            </a:rPr>
            <a:t>GETTING STARTED CHECKLIST</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 Enable macros/content</a:t>
          </a:r>
        </a:p>
        <a:p>
          <a:r>
            <a:rPr lang="en-US" sz="1200" b="0" u="none" baseline="0">
              <a:latin typeface="Trebuchet MS" panose="020B0603020202020204" pitchFamily="34" charset="0"/>
            </a:rPr>
            <a:t>[ ] Set up your race information (TRAINING SPECS)</a:t>
          </a:r>
        </a:p>
        <a:p>
          <a:r>
            <a:rPr lang="en-US" sz="1200" b="0" u="none" baseline="0">
              <a:latin typeface="Trebuchet MS" panose="020B0603020202020204" pitchFamily="34" charset="0"/>
            </a:rPr>
            <a:t>[ ] Create or customize your training plan (PLAN)</a:t>
          </a:r>
        </a:p>
        <a:p>
          <a:r>
            <a:rPr lang="en-US" sz="1200" b="0" u="none" baseline="0">
              <a:latin typeface="Trebuchet MS" panose="020B0603020202020204" pitchFamily="34" charset="0"/>
            </a:rPr>
            <a:t>[ ] Log your first activity (DATA)</a:t>
          </a:r>
        </a:p>
        <a:p>
          <a:r>
            <a:rPr lang="en-US" sz="1200" b="0" u="none" baseline="0">
              <a:latin typeface="Trebuchet MS" panose="020B0603020202020204" pitchFamily="34" charset="0"/>
            </a:rPr>
            <a:t>[ ] Review your progress charts (VISUALS)</a:t>
          </a:r>
          <a:endParaRPr lang="en-US" sz="1200" b="1" u="sng" baseline="0">
            <a:latin typeface="Trebuchet MS" panose="020B0603020202020204" pitchFamily="34" charset="0"/>
          </a:endParaRPr>
        </a:p>
      </xdr:txBody>
    </xdr:sp>
    <xdr:clientData/>
  </xdr:oneCellAnchor>
  <xdr:oneCellAnchor>
    <xdr:from>
      <xdr:col>1</xdr:col>
      <xdr:colOff>56028</xdr:colOff>
      <xdr:row>11</xdr:row>
      <xdr:rowOff>0</xdr:rowOff>
    </xdr:from>
    <xdr:ext cx="7944971" cy="10802472"/>
    <xdr:sp macro="" textlink="">
      <xdr:nvSpPr>
        <xdr:cNvPr id="3" name="TextBox 2">
          <a:extLst>
            <a:ext uri="{FF2B5EF4-FFF2-40B4-BE49-F238E27FC236}">
              <a16:creationId xmlns:a16="http://schemas.microsoft.com/office/drawing/2014/main" id="{33EBBAAA-6840-DA94-BDB4-3279B11DB50E}"/>
            </a:ext>
          </a:extLst>
        </xdr:cNvPr>
        <xdr:cNvSpPr txBox="1"/>
      </xdr:nvSpPr>
      <xdr:spPr>
        <a:xfrm>
          <a:off x="2364440" y="6858000"/>
          <a:ext cx="7944971" cy="108024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latin typeface="Trebuchet MS" panose="020B0603020202020204" pitchFamily="34" charset="0"/>
            </a:rPr>
            <a:t>Navigate to the TRAINING</a:t>
          </a:r>
          <a:r>
            <a:rPr lang="en-US" sz="1200" baseline="0">
              <a:latin typeface="Trebuchet MS" panose="020B0603020202020204" pitchFamily="34" charset="0"/>
            </a:rPr>
            <a:t> SPECS sheet to fill out your race details. This section serves two purposes: one, you have it as a reference when you are creating your plan and measuring progress; and two, you actually think about the race you are training for and what you want to achieve! Having a visual of your expectations and the setting of the race is important.</a:t>
          </a:r>
        </a:p>
        <a:p>
          <a:endParaRPr lang="en-US" sz="1200" baseline="0">
            <a:latin typeface="Trebuchet MS" panose="020B0603020202020204" pitchFamily="34" charset="0"/>
          </a:endParaRPr>
        </a:p>
        <a:p>
          <a:r>
            <a:rPr lang="en-US" sz="1200" baseline="0">
              <a:latin typeface="Trebuchet MS" panose="020B0603020202020204" pitchFamily="34" charset="0"/>
            </a:rPr>
            <a:t>There are some utility calculators for your convenience!</a:t>
          </a:r>
        </a:p>
        <a:p>
          <a:endParaRPr lang="en-US" sz="1200" baseline="0">
            <a:latin typeface="Trebuchet MS" panose="020B0603020202020204" pitchFamily="34" charset="0"/>
          </a:endParaRPr>
        </a:p>
        <a:p>
          <a:r>
            <a:rPr lang="en-US" sz="1200" b="1" u="sng" baseline="0">
              <a:latin typeface="Trebuchet MS" panose="020B0603020202020204" pitchFamily="34" charset="0"/>
            </a:rPr>
            <a:t>RACE INFORMATION SECTION</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Complete the following fields in column C:</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Race Name (C5): Enter the name of your race</a:t>
          </a:r>
        </a:p>
        <a:p>
          <a:r>
            <a:rPr lang="en-US" sz="1200" b="0" u="none" baseline="0">
              <a:latin typeface="Trebuchet MS" panose="020B0603020202020204" pitchFamily="34" charset="0"/>
            </a:rPr>
            <a:t>  Example: "2025 Philadelphia Half Marathon"</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Race Date (C6): Enter the date of your race</a:t>
          </a:r>
        </a:p>
        <a:p>
          <a:r>
            <a:rPr lang="en-US" sz="1200" b="0" u="none" baseline="0">
              <a:latin typeface="Trebuchet MS" panose="020B0603020202020204" pitchFamily="34" charset="0"/>
            </a:rPr>
            <a:t>  Format: mm/dd/yyyy</a:t>
          </a:r>
        </a:p>
        <a:p>
          <a:r>
            <a:rPr lang="en-US" sz="1200" b="0" u="none" baseline="0">
              <a:latin typeface="Trebuchet MS" panose="020B0603020202020204" pitchFamily="34" charset="0"/>
            </a:rPr>
            <a:t>  Example: 11/24/2025</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Distance/Mileage (C7): Enter the race distance in miles</a:t>
          </a:r>
        </a:p>
        <a:p>
          <a:r>
            <a:rPr lang="en-US" sz="1200" b="0" u="none" baseline="0">
              <a:latin typeface="Trebuchet MS" panose="020B0603020202020204" pitchFamily="34" charset="0"/>
            </a:rPr>
            <a:t>  Example: 13.1</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Location (C8): Enter where the race takes place</a:t>
          </a:r>
        </a:p>
        <a:p>
          <a:r>
            <a:rPr lang="en-US" sz="1200" b="0" u="none" baseline="0">
              <a:latin typeface="Trebuchet MS" panose="020B0603020202020204" pitchFamily="34" charset="0"/>
            </a:rPr>
            <a:t>  Example: "Art Museum, Philadelphia, PA"</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Total Elevation (C9): Enter the total elevation gain in feet (if known)</a:t>
          </a:r>
        </a:p>
        <a:p>
          <a:r>
            <a:rPr lang="en-US" sz="1200" b="0" u="none" baseline="0">
              <a:latin typeface="Trebuchet MS" panose="020B0603020202020204" pitchFamily="34" charset="0"/>
            </a:rPr>
            <a:t>  ** You may consider checking the race website for this information</a:t>
          </a:r>
        </a:p>
        <a:p>
          <a:r>
            <a:rPr lang="en-US" sz="1200" b="0" u="none" baseline="0">
              <a:latin typeface="Trebuchet MS" panose="020B0603020202020204" pitchFamily="34" charset="0"/>
            </a:rPr>
            <a:t>  Example: 1,023</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Environment Type (C10): Select from dropdown or add if not on list in the Data excel tab &gt; Data Validation &gt; Settings</a:t>
          </a:r>
        </a:p>
        <a:p>
          <a:r>
            <a:rPr lang="en-US" sz="1200" b="0" u="none" baseline="0">
              <a:latin typeface="Trebuchet MS" panose="020B0603020202020204" pitchFamily="34" charset="0"/>
            </a:rPr>
            <a:t>  Options: Road, Trail, Mixed, Track</a:t>
          </a:r>
        </a:p>
        <a:p>
          <a:r>
            <a:rPr lang="en-US" sz="1200" b="0" u="none" baseline="0">
              <a:latin typeface="Trebuchet MS" panose="020B0603020202020204" pitchFamily="34" charset="0"/>
            </a:rPr>
            <a:t>  This will help you focus on what environments to train in</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GOAL PERFORMANCE SECTION</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Goal Time (C13): Enter your target finish time </a:t>
          </a:r>
          <a:r>
            <a:rPr lang="en-US" sz="1200" b="1" u="none" baseline="0">
              <a:latin typeface="Trebuchet MS" panose="020B0603020202020204" pitchFamily="34" charset="0"/>
            </a:rPr>
            <a:t>in minutes</a:t>
          </a:r>
          <a:r>
            <a:rPr lang="en-US" sz="1200" b="0" u="none" baseline="0">
              <a:latin typeface="Trebuchet MS" panose="020B0603020202020204" pitchFamily="34" charset="0"/>
            </a:rPr>
            <a:t> (NOT PACE)</a:t>
          </a:r>
        </a:p>
        <a:p>
          <a:r>
            <a:rPr lang="en-US" sz="1200" b="0" u="none" baseline="0">
              <a:latin typeface="Trebuchet MS" panose="020B0603020202020204" pitchFamily="34" charset="0"/>
            </a:rPr>
            <a:t>  Format: [m]</a:t>
          </a:r>
        </a:p>
        <a:p>
          <a:r>
            <a:rPr lang="en-US" sz="1200" b="0" u="none" baseline="0">
              <a:latin typeface="Trebuchet MS" panose="020B0603020202020204" pitchFamily="34" charset="0"/>
            </a:rPr>
            <a:t>  Format:   Examples: 120 (2 hrs), 80.5 (1 hr, 20 min, 30 sec)</a:t>
          </a:r>
        </a:p>
        <a:p>
          <a:r>
            <a:rPr lang="en-US" sz="1200" b="0" u="none" baseline="0">
              <a:latin typeface="Trebuchet MS" panose="020B0603020202020204" pitchFamily="34" charset="0"/>
            </a:rPr>
            <a:t>- Goal Pace (C14): This calculates automatically from goal time and race distance!</a:t>
          </a:r>
        </a:p>
        <a:p>
          <a:r>
            <a:rPr lang="en-US" sz="1200" b="0" u="none" baseline="0">
              <a:latin typeface="Trebuchet MS" panose="020B0603020202020204" pitchFamily="34" charset="0"/>
            </a:rPr>
            <a:t>  Example: For a 2:00:00 marathon, pace = 9:10 min/mile</a:t>
          </a:r>
        </a:p>
        <a:p>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1" u="sng" baseline="0">
              <a:latin typeface="Trebuchet MS" panose="020B0603020202020204" pitchFamily="34" charset="0"/>
            </a:rPr>
            <a:t>ENVIRONMENTAL FACTORS SECTION</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Understanding your race day conditions helps you prepare:</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Time of Year (C17): Select or type season</a:t>
          </a:r>
        </a:p>
        <a:p>
          <a:r>
            <a:rPr lang="en-US" sz="1200" b="0" u="none" baseline="0">
              <a:latin typeface="Trebuchet MS" panose="020B0603020202020204" pitchFamily="34" charset="0"/>
            </a:rPr>
            <a:t>  Options: Spring, Summer, Fall, Winter</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Expected Heat/Temp (C18): Enter expected temperature in </a:t>
          </a:r>
          <a:r>
            <a:rPr lang="en-US" sz="1200"/>
            <a:t>°F</a:t>
          </a:r>
        </a:p>
        <a:p>
          <a:pPr marL="0" marR="0" lvl="0" indent="0" defTabSz="914400" eaLnBrk="1" fontAlgn="auto" latinLnBrk="0" hangingPunct="1">
            <a:lnSpc>
              <a:spcPct val="100000"/>
            </a:lnSpc>
            <a:spcBef>
              <a:spcPts val="0"/>
            </a:spcBef>
            <a:spcAft>
              <a:spcPts val="0"/>
            </a:spcAft>
            <a:buClrTx/>
            <a:buSzTx/>
            <a:buFontTx/>
            <a:buNone/>
            <a:tabLst/>
            <a:defRPr/>
          </a:pPr>
          <a:r>
            <a:rPr lang="en-US" sz="1200" b="0" u="none" baseline="0">
              <a:latin typeface="Trebuchet MS" panose="020B0603020202020204" pitchFamily="34" charset="0"/>
            </a:rPr>
            <a:t>  Example: 75 (75 </a:t>
          </a:r>
          <a:r>
            <a:rPr lang="en-US" sz="1200">
              <a:solidFill>
                <a:schemeClr val="tx1"/>
              </a:solidFill>
              <a:effectLst/>
              <a:latin typeface="Trebuchet MS" panose="020B0603020202020204" pitchFamily="34" charset="0"/>
              <a:ea typeface="+mn-ea"/>
              <a:cs typeface="+mn-cs"/>
            </a:rPr>
            <a:t>°F)</a:t>
          </a:r>
          <a:endParaRPr lang="en-US" sz="1200">
            <a:effectLst/>
            <a:latin typeface="Trebuchet MS" panose="020B0603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200">
            <a:effectLst/>
            <a:latin typeface="Trebuchet MS" panose="020B0603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a:effectLst/>
              <a:latin typeface="Trebuchet MS" panose="020B0603020202020204" pitchFamily="34" charset="0"/>
            </a:rPr>
            <a:t>- Location Considered (C19): Check if you've researched the course</a:t>
          </a:r>
        </a:p>
        <a:p>
          <a:pPr marL="0" marR="0" lvl="0" indent="0" defTabSz="914400" eaLnBrk="1" fontAlgn="auto" latinLnBrk="0" hangingPunct="1">
            <a:lnSpc>
              <a:spcPct val="100000"/>
            </a:lnSpc>
            <a:spcBef>
              <a:spcPts val="0"/>
            </a:spcBef>
            <a:spcAft>
              <a:spcPts val="0"/>
            </a:spcAft>
            <a:buClrTx/>
            <a:buSzTx/>
            <a:buFontTx/>
            <a:buNone/>
            <a:tabLst/>
            <a:defRPr/>
          </a:pPr>
          <a:endParaRPr lang="en-US" sz="1200">
            <a:effectLst/>
            <a:latin typeface="Trebuchet MS" panose="020B0603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a:effectLst/>
              <a:latin typeface="Trebuchet MS" panose="020B0603020202020204" pitchFamily="34" charset="0"/>
            </a:rPr>
            <a:t>- Altitude (C20): Enter elevation</a:t>
          </a:r>
          <a:r>
            <a:rPr lang="en-US" sz="1200" baseline="0">
              <a:effectLst/>
              <a:latin typeface="Trebuchet MS" panose="020B0603020202020204" pitchFamily="34" charset="0"/>
            </a:rPr>
            <a:t> in feet</a:t>
          </a:r>
        </a:p>
        <a:p>
          <a:pPr marL="0" marR="0" lvl="0" indent="0" defTabSz="914400" eaLnBrk="1" fontAlgn="auto" latinLnBrk="0" hangingPunct="1">
            <a:lnSpc>
              <a:spcPct val="100000"/>
            </a:lnSpc>
            <a:spcBef>
              <a:spcPts val="0"/>
            </a:spcBef>
            <a:spcAft>
              <a:spcPts val="0"/>
            </a:spcAft>
            <a:buClrTx/>
            <a:buSzTx/>
            <a:buFontTx/>
            <a:buNone/>
            <a:tabLst/>
            <a:defRPr/>
          </a:pPr>
          <a:r>
            <a:rPr lang="en-US" sz="1200" baseline="0">
              <a:effectLst/>
              <a:latin typeface="Trebuchet MS" panose="020B0603020202020204" pitchFamily="34" charset="0"/>
            </a:rPr>
            <a:t>  Important if racing at high altitude</a:t>
          </a:r>
        </a:p>
        <a:p>
          <a:pPr marL="0" marR="0" lvl="0" indent="0" defTabSz="914400" eaLnBrk="1" fontAlgn="auto" latinLnBrk="0" hangingPunct="1">
            <a:lnSpc>
              <a:spcPct val="100000"/>
            </a:lnSpc>
            <a:spcBef>
              <a:spcPts val="0"/>
            </a:spcBef>
            <a:spcAft>
              <a:spcPts val="0"/>
            </a:spcAft>
            <a:buClrTx/>
            <a:buSzTx/>
            <a:buFontTx/>
            <a:buNone/>
            <a:tabLst/>
            <a:defRPr/>
          </a:pPr>
          <a:r>
            <a:rPr lang="en-US" sz="1200" baseline="0">
              <a:effectLst/>
              <a:latin typeface="Trebuchet MS" panose="020B0603020202020204" pitchFamily="34" charset="0"/>
            </a:rPr>
            <a:t>  Example: 5000 (Denver)</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aseline="0">
            <a:effectLst/>
            <a:latin typeface="Trebuchet MS" panose="020B0603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aseline="0">
              <a:effectLst/>
              <a:latin typeface="Trebuchet MS" panose="020B0603020202020204" pitchFamily="34" charset="0"/>
            </a:rPr>
            <a:t>- Humidity Consideration (B22): Enter Low, Medium, or High</a:t>
          </a:r>
        </a:p>
        <a:p>
          <a:pPr marL="0" marR="0" lvl="0" indent="0" defTabSz="914400" eaLnBrk="1" fontAlgn="auto" latinLnBrk="0" hangingPunct="1">
            <a:lnSpc>
              <a:spcPct val="100000"/>
            </a:lnSpc>
            <a:spcBef>
              <a:spcPts val="0"/>
            </a:spcBef>
            <a:spcAft>
              <a:spcPts val="0"/>
            </a:spcAft>
            <a:buClrTx/>
            <a:buSzTx/>
            <a:buFontTx/>
            <a:buNone/>
            <a:tabLst/>
            <a:defRPr/>
          </a:pPr>
          <a:r>
            <a:rPr lang="en-US" sz="1200" baseline="0">
              <a:effectLst/>
              <a:latin typeface="Trebuchet MS" panose="020B0603020202020204" pitchFamily="34" charset="0"/>
            </a:rPr>
            <a:t>  High humidity significantly impacts performance (e.g. high humidity puts downwards pressure on VO2 max)</a:t>
          </a:r>
          <a:endParaRPr lang="en-US" sz="1200">
            <a:effectLst/>
            <a:latin typeface="Trebuchet MS" panose="020B0603020202020204" pitchFamily="34" charset="0"/>
          </a:endParaRPr>
        </a:p>
        <a:p>
          <a:endParaRPr lang="en-US" sz="1200" b="0" u="none">
            <a:latin typeface="Trebuchet MS" panose="020B0603020202020204" pitchFamily="34" charset="0"/>
          </a:endParaRPr>
        </a:p>
      </xdr:txBody>
    </xdr:sp>
    <xdr:clientData/>
  </xdr:oneCellAnchor>
  <xdr:oneCellAnchor>
    <xdr:from>
      <xdr:col>1</xdr:col>
      <xdr:colOff>67235</xdr:colOff>
      <xdr:row>19</xdr:row>
      <xdr:rowOff>11206</xdr:rowOff>
    </xdr:from>
    <xdr:ext cx="7933765" cy="14745960"/>
    <xdr:sp macro="" textlink="">
      <xdr:nvSpPr>
        <xdr:cNvPr id="4" name="TextBox 3">
          <a:extLst>
            <a:ext uri="{FF2B5EF4-FFF2-40B4-BE49-F238E27FC236}">
              <a16:creationId xmlns:a16="http://schemas.microsoft.com/office/drawing/2014/main" id="{D1EF4010-AD99-CD7C-C229-AA61481F3CAC}"/>
            </a:ext>
          </a:extLst>
        </xdr:cNvPr>
        <xdr:cNvSpPr txBox="1"/>
      </xdr:nvSpPr>
      <xdr:spPr>
        <a:xfrm>
          <a:off x="2375647" y="17907000"/>
          <a:ext cx="7933765" cy="14745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latin typeface="Trebuchet MS" panose="020B0603020202020204" pitchFamily="34" charset="0"/>
            </a:rPr>
            <a:t>Navigate</a:t>
          </a:r>
          <a:r>
            <a:rPr lang="en-US" sz="1200" baseline="0">
              <a:latin typeface="Trebuchet MS" panose="020B0603020202020204" pitchFamily="34" charset="0"/>
            </a:rPr>
            <a:t> to the PLAN sheet to view and customize your training plan/schedule. This sheet will help you plan each week of training leading up to race day!</a:t>
          </a:r>
        </a:p>
        <a:p>
          <a:endParaRPr lang="en-US" sz="1200" baseline="0">
            <a:latin typeface="Trebuchet MS" panose="020B0603020202020204" pitchFamily="34" charset="0"/>
          </a:endParaRPr>
        </a:p>
        <a:p>
          <a:r>
            <a:rPr lang="en-US" sz="1200" b="1" u="sng" baseline="0">
              <a:latin typeface="Trebuchet MS" panose="020B0603020202020204" pitchFamily="34" charset="0"/>
            </a:rPr>
            <a:t>UNDERSTANDING THE TRAINING PLAN LAYOUT</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The training plan is organized in the following columns:</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A - Week #: Training week number (later numbers -&gt; closer to race day)</a:t>
          </a:r>
        </a:p>
        <a:p>
          <a:r>
            <a:rPr lang="en-US" sz="1200" b="0" u="none" baseline="0">
              <a:latin typeface="Trebuchet MS" panose="020B0603020202020204" pitchFamily="34" charset="0"/>
            </a:rPr>
            <a:t>B - Day: Numbered (1-7) day of the week (set start day on Monday for day 1=Mon, 2=Tues, etc.)</a:t>
          </a:r>
        </a:p>
        <a:p>
          <a:r>
            <a:rPr lang="en-US" sz="1200" b="0" u="none" baseline="0">
              <a:latin typeface="Trebuchet MS" panose="020B0603020202020204" pitchFamily="34" charset="0"/>
            </a:rPr>
            <a:t>C - Date: Actual calendar date (auto-calculated from input start day)</a:t>
          </a:r>
        </a:p>
        <a:p>
          <a:r>
            <a:rPr lang="en-US" sz="1200" b="0" u="none" baseline="0">
              <a:latin typeface="Trebuchet MS" panose="020B0603020202020204" pitchFamily="34" charset="0"/>
            </a:rPr>
            <a:t>D - Run Type: Type of workout for that day</a:t>
          </a:r>
        </a:p>
        <a:p>
          <a:r>
            <a:rPr lang="en-US" sz="1200" b="0" u="none" baseline="0">
              <a:latin typeface="Trebuchet MS" panose="020B0603020202020204" pitchFamily="34" charset="0"/>
            </a:rPr>
            <a:t>E - Distance (miles): Planned distance</a:t>
          </a:r>
        </a:p>
        <a:p>
          <a:r>
            <a:rPr lang="en-US" sz="1200" b="0" u="none" baseline="0">
              <a:latin typeface="Trebuchet MS" panose="020B0603020202020204" pitchFamily="34" charset="0"/>
            </a:rPr>
            <a:t>F - Target Time: How long the run should take</a:t>
          </a:r>
        </a:p>
        <a:p>
          <a:r>
            <a:rPr lang="en-US" sz="1200" b="0" u="none" baseline="0">
              <a:latin typeface="Trebuchet MS" panose="020B0603020202020204" pitchFamily="34" charset="0"/>
            </a:rPr>
            <a:t>G - Target Pace: Pace you are aiming for (min/mi)</a:t>
          </a:r>
        </a:p>
        <a:p>
          <a:r>
            <a:rPr lang="en-US" sz="1200" b="0" u="none" baseline="0">
              <a:latin typeface="Trebuchet MS" panose="020B0603020202020204" pitchFamily="34" charset="0"/>
            </a:rPr>
            <a:t>H - Notes: Any specific instructions for the run</a:t>
          </a:r>
        </a:p>
        <a:p>
          <a:r>
            <a:rPr lang="en-US" sz="1200" b="0" u="none" baseline="0">
              <a:latin typeface="Trebuchet MS" panose="020B0603020202020204" pitchFamily="34" charset="0"/>
            </a:rPr>
            <a:t>I - Nutrition/Fuel Plan: pre-run, during-run, and/or post-run fueling strategy (yes, post-run is important too)</a:t>
          </a:r>
        </a:p>
        <a:p>
          <a:r>
            <a:rPr lang="en-US" sz="1200" b="0" u="none" baseline="0">
              <a:latin typeface="Trebuchet MS" panose="020B0603020202020204" pitchFamily="34" charset="0"/>
            </a:rPr>
            <a:t>J - Completed: Checkbox - mark when you finish the run</a:t>
          </a:r>
        </a:p>
        <a:p>
          <a:r>
            <a:rPr lang="en-US" sz="1200" b="0" u="none" baseline="0">
              <a:latin typeface="Trebuchet MS" panose="020B0603020202020204" pitchFamily="34" charset="0"/>
            </a:rPr>
            <a:t>K - Actual Distance: What you actually ran</a:t>
          </a:r>
        </a:p>
        <a:p>
          <a:r>
            <a:rPr lang="en-US" sz="1200" b="0" u="none" baseline="0">
              <a:latin typeface="Trebuchet MS" panose="020B0603020202020204" pitchFamily="34" charset="0"/>
            </a:rPr>
            <a:t>L - Actual Time: What you actually finished in</a:t>
          </a:r>
        </a:p>
        <a:p>
          <a:r>
            <a:rPr lang="en-US" sz="1200" b="0" u="none" baseline="0">
              <a:latin typeface="Trebuchet MS" panose="020B0603020202020204" pitchFamily="34" charset="0"/>
            </a:rPr>
            <a:t>M - Actual Pace: What pace you actually ran</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RUN TYPES (COL D)</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Use these standard run types or create your own (include a short warm up and cool down each run for optimal recovery):</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Easy: Comfortable conversational pace, recovery-focused</a:t>
          </a:r>
          <a:endParaRPr lang="en-US" sz="1200" b="1" u="sng" baseline="0">
            <a:latin typeface="Trebuchet MS" panose="020B0603020202020204" pitchFamily="34" charset="0"/>
          </a:endParaRPr>
        </a:p>
        <a:p>
          <a:r>
            <a:rPr lang="en-US" sz="1200" b="0" u="none" baseline="0">
              <a:latin typeface="Trebuchet MS" panose="020B0603020202020204" pitchFamily="34" charset="0"/>
            </a:rPr>
            <a:t>- Long: Weekly long run, building endurance</a:t>
          </a:r>
        </a:p>
        <a:p>
          <a:r>
            <a:rPr lang="en-US" sz="1200" b="0" u="none" baseline="0">
              <a:latin typeface="Trebuchet MS" panose="020B0603020202020204" pitchFamily="34" charset="0"/>
            </a:rPr>
            <a:t>- Tempo: Sustained hard effort, typically 80-90% max effort</a:t>
          </a:r>
        </a:p>
        <a:p>
          <a:r>
            <a:rPr lang="en-US" sz="1200" b="0" u="none" baseline="0">
              <a:latin typeface="Trebuchet MS" panose="020B0603020202020204" pitchFamily="34" charset="0"/>
            </a:rPr>
            <a:t>- Goal Pace: A run at your goal pace</a:t>
          </a:r>
        </a:p>
        <a:p>
          <a:r>
            <a:rPr lang="en-US" sz="1200" b="0" u="none" baseline="0">
              <a:latin typeface="Trebuchet MS" panose="020B0603020202020204" pitchFamily="34" charset="0"/>
            </a:rPr>
            <a:t>- Progression: Progressively running faster and faster, typically picking up each mile or pre-determined length</a:t>
          </a:r>
        </a:p>
        <a:p>
          <a:r>
            <a:rPr lang="en-US" sz="1200" b="0" u="none" baseline="0">
              <a:latin typeface="Trebuchet MS" panose="020B0603020202020204" pitchFamily="34" charset="0"/>
            </a:rPr>
            <a:t>- Intervals / Speed Repeats: Speed work with rest periods</a:t>
          </a:r>
        </a:p>
        <a:p>
          <a:r>
            <a:rPr lang="en-US" sz="1200" b="0" u="none" baseline="0">
              <a:latin typeface="Trebuchet MS" panose="020B0603020202020204" pitchFamily="34" charset="0"/>
            </a:rPr>
            <a:t>- Recovery: Very easy, shorter distance for active recovery</a:t>
          </a:r>
        </a:p>
        <a:p>
          <a:r>
            <a:rPr lang="en-US" sz="1200" b="0" u="none" baseline="0">
              <a:latin typeface="Trebuchet MS" panose="020B0603020202020204" pitchFamily="34" charset="0"/>
            </a:rPr>
            <a:t>- Rest: Complete rest day (highly recommended!)</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TRACKING YOUR PROGRESS</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As you complete each run:</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1. Check the box in Column J (Completed)</a:t>
          </a:r>
        </a:p>
        <a:p>
          <a:r>
            <a:rPr lang="en-US" sz="1200" b="0" u="none" baseline="0">
              <a:latin typeface="Trebuchet MS" panose="020B0603020202020204" pitchFamily="34" charset="0"/>
            </a:rPr>
            <a:t>2. Enter your Actual Distance in Column K</a:t>
          </a:r>
        </a:p>
        <a:p>
          <a:r>
            <a:rPr lang="en-US" sz="1200" b="0" u="none" baseline="0">
              <a:latin typeface="Trebuchet MS" panose="020B0603020202020204" pitchFamily="34" charset="0"/>
            </a:rPr>
            <a:t>3. Enter your Actual Time in Column L</a:t>
          </a:r>
        </a:p>
        <a:p>
          <a:r>
            <a:rPr lang="en-US" sz="1200" b="0" u="none" baseline="0">
              <a:latin typeface="Trebuchet MS" panose="020B0603020202020204" pitchFamily="34" charset="0"/>
            </a:rPr>
            <a:t>4. Enter your Actual Time in Column M</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This lets you compare planned vs. actual performance!</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RECOVERY PLANNING</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Use the Nutrition/Fuel Plan column (Column I) to plan:</a:t>
          </a:r>
        </a:p>
        <a:p>
          <a:r>
            <a:rPr lang="en-US" sz="1200" b="0" u="none" baseline="0">
              <a:latin typeface="Trebuchet MS" panose="020B0603020202020204" pitchFamily="34" charset="0"/>
            </a:rPr>
            <a:t>- Pre-run meals (timing, food)</a:t>
          </a:r>
        </a:p>
        <a:p>
          <a:r>
            <a:rPr lang="en-US" sz="1200" b="0" u="none" baseline="0">
              <a:latin typeface="Trebuchet MS" panose="020B0603020202020204" pitchFamily="34" charset="0"/>
            </a:rPr>
            <a:t>- During-run fueling (for runs 45+ minutes, especially long runs 60+ minutes)</a:t>
          </a:r>
        </a:p>
        <a:p>
          <a:r>
            <a:rPr lang="en-US" sz="1200" b="0" u="none" baseline="0">
              <a:latin typeface="Trebuchet MS" panose="020B0603020202020204" pitchFamily="34" charset="0"/>
            </a:rPr>
            <a:t>- Post-run recovery nutrition (you need to repair those muscles)</a:t>
          </a:r>
        </a:p>
        <a:p>
          <a:r>
            <a:rPr lang="en-US" sz="1200" b="0" u="none" baseline="0">
              <a:latin typeface="Trebuchet MS" panose="020B0603020202020204" pitchFamily="34" charset="0"/>
            </a:rPr>
            <a:t>- Hydration strategy (water, electrolytes)</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Example note:</a:t>
          </a:r>
        </a:p>
        <a:p>
          <a:r>
            <a:rPr lang="en-US" sz="1200" b="0" u="none" baseline="0">
              <a:latin typeface="Trebuchet MS" panose="020B0603020202020204" pitchFamily="34" charset="0"/>
            </a:rPr>
            <a:t>- "Banana + PB toast + Ascent Hydration Mix 45 minutes before"</a:t>
          </a:r>
        </a:p>
        <a:p>
          <a:r>
            <a:rPr lang="en-US" sz="1200" b="0" u="none" baseline="0">
              <a:latin typeface="Trebuchet MS" panose="020B0603020202020204" pitchFamily="34" charset="0"/>
            </a:rPr>
            <a:t>- "Gel at mile 6 and 12"</a:t>
          </a:r>
        </a:p>
        <a:p>
          <a:r>
            <a:rPr lang="en-US" sz="1200" b="0" u="none" baseline="0">
              <a:latin typeface="Trebuchet MS" panose="020B0603020202020204" pitchFamily="34" charset="0"/>
            </a:rPr>
            <a:t>- "Chocolate mile within 30 min of finish"</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MODEL TRAINING PLAN STRUCTURE</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Most plans follow this weekly pattern:</a:t>
          </a:r>
        </a:p>
        <a:p>
          <a:r>
            <a:rPr lang="en-US" sz="1200" b="0" u="none" baseline="0">
              <a:latin typeface="Trebuchet MS" panose="020B0603020202020204" pitchFamily="34" charset="0"/>
            </a:rPr>
            <a:t>- Monday: Rest or easy (rationale: weekend long run recovery)</a:t>
          </a:r>
        </a:p>
        <a:p>
          <a:r>
            <a:rPr lang="en-US" sz="1200" b="0" u="none" baseline="0">
              <a:latin typeface="Trebuchet MS" panose="020B0603020202020204" pitchFamily="34" charset="0"/>
            </a:rPr>
            <a:t>- Tuesday: Speed work or Tempo</a:t>
          </a:r>
        </a:p>
        <a:p>
          <a:r>
            <a:rPr lang="en-US" sz="1200" b="0" u="none" baseline="0">
              <a:latin typeface="Trebuchet MS" panose="020B0603020202020204" pitchFamily="34" charset="0"/>
            </a:rPr>
            <a:t>- Wednesday: Easy or cross-training</a:t>
          </a:r>
        </a:p>
        <a:p>
          <a:r>
            <a:rPr lang="en-US" sz="1200" b="0" u="none" baseline="0">
              <a:latin typeface="Trebuchet MS" panose="020B0603020202020204" pitchFamily="34" charset="0"/>
            </a:rPr>
            <a:t>- Thursday: Easy or Hill repeats (good to train vert!)</a:t>
          </a:r>
        </a:p>
        <a:p>
          <a:r>
            <a:rPr lang="en-US" sz="1200" b="0" u="none" baseline="0">
              <a:latin typeface="Trebuchet MS" panose="020B0603020202020204" pitchFamily="34" charset="0"/>
            </a:rPr>
            <a:t>- Friday: Active recovery or light cross-training</a:t>
          </a:r>
        </a:p>
        <a:p>
          <a:r>
            <a:rPr lang="en-US" sz="1200" b="0" u="none" baseline="0">
              <a:latin typeface="Trebuchet MS" panose="020B0603020202020204" pitchFamily="34" charset="0"/>
            </a:rPr>
            <a:t>- Saturday: Long run or rest</a:t>
          </a:r>
        </a:p>
        <a:p>
          <a:r>
            <a:rPr lang="en-US" sz="1200" b="0" u="none" baseline="0">
              <a:latin typeface="Trebuchet MS" panose="020B0603020202020204" pitchFamily="34" charset="0"/>
            </a:rPr>
            <a:t>- Sunday: Long run, easy, or rest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&gt; TIP: Some runners run only 3-4x/wk! This is also paired with strength training, cross-training, good nutrition, and recovery</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&gt; TIP: Build your weekly mileage gradually! The common rule is don't increase total weekly mileage by more than 10% per week. This reduces injust risk.</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&gt; TIP: Schedule at least ONE complete rest day per week. Rest is when your body adapts and gets stronger. If you never rest, you're denying your body its optimal setting for getting stronger! This is true for work and sleep too!</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&gt; IMPORTANT: Listen to your body! If you're feeling overly fatigued, sore, or notice persistent pain, it's okay to adjust to pain. It's better to arrive at race day healthy than overtrained.</a:t>
          </a:r>
        </a:p>
      </xdr:txBody>
    </xdr:sp>
    <xdr:clientData/>
  </xdr:oneCellAnchor>
  <xdr:oneCellAnchor>
    <xdr:from>
      <xdr:col>1</xdr:col>
      <xdr:colOff>78441</xdr:colOff>
      <xdr:row>28</xdr:row>
      <xdr:rowOff>201707</xdr:rowOff>
    </xdr:from>
    <xdr:ext cx="7922559" cy="14881412"/>
    <xdr:sp macro="" textlink="">
      <xdr:nvSpPr>
        <xdr:cNvPr id="5" name="TextBox 4">
          <a:extLst>
            <a:ext uri="{FF2B5EF4-FFF2-40B4-BE49-F238E27FC236}">
              <a16:creationId xmlns:a16="http://schemas.microsoft.com/office/drawing/2014/main" id="{1B3E63AA-F14E-9C48-CFE4-D02E62D296FD}"/>
            </a:ext>
          </a:extLst>
        </xdr:cNvPr>
        <xdr:cNvSpPr txBox="1"/>
      </xdr:nvSpPr>
      <xdr:spPr>
        <a:xfrm>
          <a:off x="2386853" y="32855648"/>
          <a:ext cx="7922559" cy="14881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latin typeface="Trebuchet MS" panose="020B0603020202020204" pitchFamily="34" charset="0"/>
            </a:rPr>
            <a:t>The DATA sheet is where you will log all your activities. This is the heart of your tracker -&gt; every run, bike,</a:t>
          </a:r>
          <a:r>
            <a:rPr lang="en-US" sz="1200" baseline="0">
              <a:latin typeface="Trebuchet MS" panose="020B0603020202020204" pitchFamily="34" charset="0"/>
            </a:rPr>
            <a:t> walk, or other workouts will go here.</a:t>
          </a:r>
        </a:p>
        <a:p>
          <a:endParaRPr lang="en-US" sz="1200" baseline="0">
            <a:latin typeface="Trebuchet MS" panose="020B0603020202020204" pitchFamily="34" charset="0"/>
          </a:endParaRPr>
        </a:p>
        <a:p>
          <a:r>
            <a:rPr lang="en-US" sz="1200" b="1" u="sng" baseline="0">
              <a:latin typeface="Trebuchet MS" panose="020B0603020202020204" pitchFamily="34" charset="0"/>
            </a:rPr>
            <a:t>UNDERSTANDING THE DATA SHEET LAYOUT</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The DATA sheet has two sections:</a:t>
          </a:r>
        </a:p>
        <a:p>
          <a:r>
            <a:rPr lang="en-US" sz="1200" b="0" u="none" baseline="0">
              <a:latin typeface="Trebuchet MS" panose="020B0603020202020204" pitchFamily="34" charset="0"/>
            </a:rPr>
            <a:t>1. INPUT TABLE (rows 3-4): Enter activities here</a:t>
          </a:r>
        </a:p>
        <a:p>
          <a:r>
            <a:rPr lang="en-US" sz="1200" b="0" u="none" baseline="0">
              <a:latin typeface="Trebuchet MS" panose="020B0603020202020204" pitchFamily="34" charset="0"/>
            </a:rPr>
            <a:t>2. DATA TABLE (rows 11+): Where all activities are stored and can be sorted</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STEP BY STEP</a:t>
          </a:r>
          <a:r>
            <a:rPr lang="en-US" sz="1200" b="1" u="none" baseline="0">
              <a:latin typeface="Trebuchet MS" panose="020B0603020202020204" pitchFamily="34" charset="0"/>
            </a:rPr>
            <a:t>: LOGGING A NEW ACTIVITY</a:t>
          </a:r>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0" u="none" baseline="0">
              <a:latin typeface="Trebuchet MS" panose="020B0603020202020204" pitchFamily="34" charset="0"/>
            </a:rPr>
            <a:t>Step 1. Navigate to the DATA sheet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Step 2. Fill in the Yellow INPUT ROW (row 4)</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Required Fields:</a:t>
          </a:r>
        </a:p>
        <a:p>
          <a:r>
            <a:rPr lang="en-US" sz="1200" b="0" u="none" baseline="0">
              <a:latin typeface="Trebuchet MS" panose="020B0603020202020204" pitchFamily="34" charset="0"/>
            </a:rPr>
            <a:t>- Activity Name (A4): Give your activity a descriptive name</a:t>
          </a:r>
        </a:p>
        <a:p>
          <a:r>
            <a:rPr lang="en-US" sz="1200" b="0" u="none" baseline="0">
              <a:latin typeface="Trebuchet MS" panose="020B0603020202020204" pitchFamily="34" charset="0"/>
            </a:rPr>
            <a:t>  Examples: "Morning Easy Run", "Track Speed Intervals", "Recovery Jog"</a:t>
          </a:r>
        </a:p>
        <a:p>
          <a:endParaRPr lang="en-US" sz="1200" b="1" u="sng" baseline="0">
            <a:latin typeface="Trebuchet MS" panose="020B0603020202020204" pitchFamily="34" charset="0"/>
          </a:endParaRPr>
        </a:p>
        <a:p>
          <a:r>
            <a:rPr lang="en-US" sz="1200" b="0" u="none" baseline="0">
              <a:latin typeface="Trebuchet MS" panose="020B0603020202020204" pitchFamily="34" charset="0"/>
            </a:rPr>
            <a:t>- Date (B4): Date of activity</a:t>
          </a:r>
        </a:p>
        <a:p>
          <a:r>
            <a:rPr lang="en-US" sz="1200" b="0" u="none" baseline="0">
              <a:latin typeface="Trebuchet MS" panose="020B0603020202020204" pitchFamily="34" charset="0"/>
            </a:rPr>
            <a:t>  Format: mm/dd/yyyy</a:t>
          </a:r>
        </a:p>
        <a:p>
          <a:r>
            <a:rPr lang="en-US" sz="1200" b="0" u="none" baseline="0">
              <a:latin typeface="Trebuchet MS" panose="020B0603020202020204" pitchFamily="34" charset="0"/>
            </a:rPr>
            <a:t>  Example: 10/15/2025</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Type (C4): Select from dropdown menu</a:t>
          </a:r>
        </a:p>
        <a:p>
          <a:r>
            <a:rPr lang="en-US" sz="1200" b="0" u="none" baseline="0">
              <a:latin typeface="Trebuchet MS" panose="020B0603020202020204" pitchFamily="34" charset="0"/>
            </a:rPr>
            <a:t>  Options: Run, Walk, Hike, Bike, Weight Training, Yoga, Swimming, Other</a:t>
          </a:r>
        </a:p>
        <a:p>
          <a:r>
            <a:rPr lang="en-US" sz="1200" b="0" u="none" baseline="0">
              <a:latin typeface="Trebuchet MS" panose="020B0603020202020204" pitchFamily="34" charset="0"/>
            </a:rPr>
            <a:t>  Add those that are not on the list</a:t>
          </a:r>
        </a:p>
        <a:p>
          <a:r>
            <a:rPr lang="en-US" sz="1200" b="0" u="none" baseline="0">
              <a:latin typeface="Trebuchet MS" panose="020B0603020202020204" pitchFamily="34" charset="0"/>
            </a:rPr>
            <a:t> </a:t>
          </a:r>
        </a:p>
        <a:p>
          <a:r>
            <a:rPr lang="en-US" sz="1200" b="0" u="none" baseline="0">
              <a:latin typeface="Trebuchet MS" panose="020B0603020202020204" pitchFamily="34" charset="0"/>
            </a:rPr>
            <a:t>Optional but Recommended Fields:</a:t>
          </a:r>
        </a:p>
        <a:p>
          <a:r>
            <a:rPr lang="en-US" sz="1200" b="0" u="none" baseline="0">
              <a:latin typeface="Trebuchet MS" panose="020B0603020202020204" pitchFamily="34" charset="0"/>
            </a:rPr>
            <a:t>- Distance (D4): In miles, for runs, walks, biking, rowing, etc.</a:t>
          </a:r>
        </a:p>
        <a:p>
          <a:r>
            <a:rPr lang="en-US" sz="1200" b="0" u="none" baseline="0">
              <a:latin typeface="Trebuchet MS" panose="020B0603020202020204" pitchFamily="34" charset="0"/>
            </a:rPr>
            <a:t>  Example: 5.2</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Duration (E4): Elapsed time</a:t>
          </a:r>
        </a:p>
        <a:p>
          <a:r>
            <a:rPr lang="en-US" sz="1200" b="0" u="none" baseline="0">
              <a:latin typeface="Trebuchet MS" panose="020B0603020202020204" pitchFamily="34" charset="0"/>
            </a:rPr>
            <a:t>  Format: [h]:mm:ss (if your VISUALS are wonky, you probably entered the Duration or Pace wrong)</a:t>
          </a:r>
        </a:p>
        <a:p>
          <a:r>
            <a:rPr lang="en-US" sz="1200" b="0" u="none" baseline="0">
              <a:latin typeface="Trebuchet MS" panose="020B0603020202020204" pitchFamily="34" charset="0"/>
            </a:rPr>
            <a:t>  Example: 0:45:30 (45 minutes 30 seconds)</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Pace (F4): Pace you traveled</a:t>
          </a:r>
        </a:p>
        <a:p>
          <a:r>
            <a:rPr lang="en-US" sz="1200" b="0" u="none" baseline="0">
              <a:latin typeface="Trebuchet MS" panose="020B0603020202020204" pitchFamily="34" charset="0"/>
            </a:rPr>
            <a:t>  Format: [h]:mm:ss (if your visuals are wonky, you probably entered the Duration or Pace wrong)</a:t>
          </a:r>
        </a:p>
        <a:p>
          <a:r>
            <a:rPr lang="en-US" sz="1200" b="0" u="none" baseline="0">
              <a:latin typeface="Trebuchet MS" panose="020B0603020202020204" pitchFamily="34" charset="0"/>
            </a:rPr>
            <a:t>  Example: 09:45 (9:45 min/mi pace)</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Elevation Gain (G4): Total FEET of climbing</a:t>
          </a:r>
        </a:p>
        <a:p>
          <a:r>
            <a:rPr lang="en-US" sz="1200" b="0" u="none" baseline="0">
              <a:latin typeface="Trebuchet MS" panose="020B0603020202020204" pitchFamily="34" charset="0"/>
            </a:rPr>
            <a:t>  Example: 150 (150 ft)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Heart Rate (H4): Average heart rate</a:t>
          </a:r>
        </a:p>
        <a:p>
          <a:r>
            <a:rPr lang="en-US" sz="1200" b="0" u="none" baseline="0">
              <a:latin typeface="Trebuchet MS" panose="020B0603020202020204" pitchFamily="34" charset="0"/>
            </a:rPr>
            <a:t>  Example: 145</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Effort Level (I4): How hard did it feel? Rate 1-10</a:t>
          </a:r>
        </a:p>
        <a:p>
          <a:r>
            <a:rPr lang="en-US" sz="1200" b="0" u="none" baseline="0">
              <a:latin typeface="Trebuchet MS" panose="020B0603020202020204" pitchFamily="34" charset="0"/>
            </a:rPr>
            <a:t>  1 = Very easy, barely broke a sweat</a:t>
          </a:r>
        </a:p>
        <a:p>
          <a:r>
            <a:rPr lang="en-US" sz="1200" b="0" u="none" baseline="0">
              <a:latin typeface="Trebuchet MS" panose="020B0603020202020204" pitchFamily="34" charset="0"/>
            </a:rPr>
            <a:t>  5 = Moderate, sustainable</a:t>
          </a:r>
        </a:p>
        <a:p>
          <a:r>
            <a:rPr lang="en-US" sz="1200" b="0" u="none" baseline="0">
              <a:latin typeface="Trebuchet MS" panose="020B0603020202020204" pitchFamily="34" charset="0"/>
            </a:rPr>
            <a:t>  10 = Maximum effort, all-out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Weather (J4): Conditions faced during activity</a:t>
          </a:r>
        </a:p>
        <a:p>
          <a:r>
            <a:rPr lang="en-US" sz="1200" b="0" u="none" baseline="0">
              <a:latin typeface="Trebuchet MS" panose="020B0603020202020204" pitchFamily="34" charset="0"/>
            </a:rPr>
            <a:t>  Example: "Sunny, 50 degrees"</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 Notes (K4): Any observations, how you felt, route details</a:t>
          </a:r>
        </a:p>
        <a:p>
          <a:r>
            <a:rPr lang="en-US" sz="1200" b="0" u="none" baseline="0">
              <a:latin typeface="Trebuchet MS" panose="020B0603020202020204" pitchFamily="34" charset="0"/>
            </a:rPr>
            <a:t>  Examples: "Felt great, strong finish!", "Legs shot from yesterday", "NEW PR LETS GOOOO"</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Step 3. Click the "Add Activity" button or manually add the activity</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Step 4. Verify your activity appears in the data table below</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SORTING YOUR DATA</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You can easily control how activities are sorted:</a:t>
          </a:r>
        </a:p>
        <a:p>
          <a:r>
            <a:rPr lang="en-US" sz="1200" b="0" u="none" baseline="0">
              <a:latin typeface="Trebuchet MS" panose="020B0603020202020204" pitchFamily="34" charset="0"/>
            </a:rPr>
            <a:t>- Sort By (C8): Select which column to sort by</a:t>
          </a:r>
        </a:p>
        <a:p>
          <a:r>
            <a:rPr lang="en-US" sz="1200" b="0" u="none" baseline="0">
              <a:latin typeface="Trebuchet MS" panose="020B0603020202020204" pitchFamily="34" charset="0"/>
            </a:rPr>
            <a:t>- Sort Order (C9): Choose the direction of the sort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When you change either dropdown, the table automatically re-sorts (I used VBA macros for the first time</a:t>
          </a:r>
        </a:p>
        <a:p>
          <a:r>
            <a:rPr lang="en-US" sz="1200" b="0" u="none" baseline="0">
              <a:latin typeface="Trebuchet MS" panose="020B0603020202020204" pitchFamily="34" charset="0"/>
            </a:rPr>
            <a:t> to make the sorting feature :)</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EXAMPLE ENTRY</a:t>
          </a:r>
          <a:r>
            <a:rPr lang="en-US" sz="1200" b="0" u="none" baseline="0">
              <a:latin typeface="Trebuchet MS" panose="020B0603020202020204" pitchFamily="34" charset="0"/>
            </a:rPr>
            <a:t>:</a:t>
          </a:r>
        </a:p>
        <a:p>
          <a:r>
            <a:rPr lang="en-US" sz="1200" b="0" u="none" baseline="0">
              <a:latin typeface="Trebuchet MS" panose="020B0603020202020204" pitchFamily="34" charset="0"/>
            </a:rPr>
            <a:t>Activity Name: "Morning Easy Run"</a:t>
          </a:r>
        </a:p>
        <a:p>
          <a:r>
            <a:rPr lang="en-US" sz="1200" b="0" u="none" baseline="0">
              <a:latin typeface="Trebuchet MS" panose="020B0603020202020204" pitchFamily="34" charset="0"/>
            </a:rPr>
            <a:t>Date: 10/17/2025</a:t>
          </a:r>
        </a:p>
        <a:p>
          <a:r>
            <a:rPr lang="en-US" sz="1200" b="0" u="none" baseline="0">
              <a:latin typeface="Trebuchet MS" panose="020B0603020202020204" pitchFamily="34" charset="0"/>
            </a:rPr>
            <a:t>Type: Run</a:t>
          </a:r>
        </a:p>
        <a:p>
          <a:r>
            <a:rPr lang="en-US" sz="1200" b="0" u="none" baseline="0">
              <a:latin typeface="Trebuchet MS" panose="020B0603020202020204" pitchFamily="34" charset="0"/>
            </a:rPr>
            <a:t>Distance: 6.5</a:t>
          </a:r>
        </a:p>
        <a:p>
          <a:r>
            <a:rPr lang="en-US" sz="1200" b="0" u="none" baseline="0">
              <a:latin typeface="Trebuchet MS" panose="020B0603020202020204" pitchFamily="34" charset="0"/>
            </a:rPr>
            <a:t>Duration: 0:58:30 (58.5 minutes, 58:30)</a:t>
          </a:r>
        </a:p>
        <a:p>
          <a:r>
            <a:rPr lang="en-US" sz="1200" b="0" u="none" baseline="0">
              <a:latin typeface="Trebuchet MS" panose="020B0603020202020204" pitchFamily="34" charset="0"/>
            </a:rPr>
            <a:t>Pace: 0:09:00 (9 min/mi, 9:00 min/mi)</a:t>
          </a:r>
        </a:p>
        <a:p>
          <a:r>
            <a:rPr lang="en-US" sz="1200" b="0" u="none" baseline="0">
              <a:latin typeface="Trebuchet MS" panose="020B0603020202020204" pitchFamily="34" charset="0"/>
            </a:rPr>
            <a:t>Elevation Gain: 150</a:t>
          </a:r>
        </a:p>
        <a:p>
          <a:r>
            <a:rPr lang="en-US" sz="1200" b="0" u="none" baseline="0">
              <a:latin typeface="Trebuchet MS" panose="020B0603020202020204" pitchFamily="34" charset="0"/>
            </a:rPr>
            <a:t>Heart Rate: 165</a:t>
          </a:r>
        </a:p>
        <a:p>
          <a:r>
            <a:rPr lang="en-US" sz="1200" b="0" u="none" baseline="0">
              <a:latin typeface="Trebuchet MS" panose="020B0603020202020204" pitchFamily="34" charset="0"/>
            </a:rPr>
            <a:t>Effort Level: 7</a:t>
          </a:r>
        </a:p>
        <a:p>
          <a:r>
            <a:rPr lang="en-US" sz="1200" b="0" u="none" baseline="0">
              <a:latin typeface="Trebuchet MS" panose="020B0603020202020204" pitchFamily="34" charset="0"/>
            </a:rPr>
            <a:t>Weather: "Beautiful fall day! Crisp temperature of 50 degrees"</a:t>
          </a:r>
        </a:p>
        <a:p>
          <a:r>
            <a:rPr lang="en-US" sz="1200" b="0" u="none" baseline="0">
              <a:latin typeface="Trebuchet MS" panose="020B0603020202020204" pitchFamily="34" charset="0"/>
            </a:rPr>
            <a:t>Notes: "Felt strong, good pace, new route through park"</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Don't forget to click "Add Activity" when you're done!</a:t>
          </a:r>
          <a:endParaRPr lang="en-US" sz="1200" b="1" u="sng" baseline="0">
            <a:latin typeface="Trebuchet MS" panose="020B0603020202020204" pitchFamily="34" charset="0"/>
          </a:endParaRPr>
        </a:p>
      </xdr:txBody>
    </xdr:sp>
    <xdr:clientData/>
  </xdr:oneCellAnchor>
  <xdr:twoCellAnchor>
    <xdr:from>
      <xdr:col>1</xdr:col>
      <xdr:colOff>67235</xdr:colOff>
      <xdr:row>39</xdr:row>
      <xdr:rowOff>11206</xdr:rowOff>
    </xdr:from>
    <xdr:to>
      <xdr:col>7</xdr:col>
      <xdr:colOff>22411</xdr:colOff>
      <xdr:row>48</xdr:row>
      <xdr:rowOff>0</xdr:rowOff>
    </xdr:to>
    <xdr:sp macro="" textlink="">
      <xdr:nvSpPr>
        <xdr:cNvPr id="6" name="TextBox 5">
          <a:extLst>
            <a:ext uri="{FF2B5EF4-FFF2-40B4-BE49-F238E27FC236}">
              <a16:creationId xmlns:a16="http://schemas.microsoft.com/office/drawing/2014/main" id="{54B33278-68A4-DDB2-500F-0F45BEF7BFCB}"/>
            </a:ext>
          </a:extLst>
        </xdr:cNvPr>
        <xdr:cNvSpPr txBox="1"/>
      </xdr:nvSpPr>
      <xdr:spPr>
        <a:xfrm>
          <a:off x="2375647" y="47983588"/>
          <a:ext cx="7967382" cy="11878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rebuchet MS" panose="020B0603020202020204" pitchFamily="34" charset="0"/>
            </a:rPr>
            <a:t>The GOAL</a:t>
          </a:r>
          <a:r>
            <a:rPr lang="en-US" sz="1200" baseline="0">
              <a:latin typeface="Trebuchet MS" panose="020B0603020202020204" pitchFamily="34" charset="0"/>
            </a:rPr>
            <a:t> TRACKING sheet helps you set and monitor various training goals beyond just your race day goal. Use this to stay motivated and measure progress throughout your training journey.</a:t>
          </a:r>
        </a:p>
        <a:p>
          <a:endParaRPr lang="en-US" sz="1200" baseline="0">
            <a:latin typeface="Trebuchet MS" panose="020B0603020202020204" pitchFamily="34" charset="0"/>
          </a:endParaRPr>
        </a:p>
        <a:p>
          <a:r>
            <a:rPr lang="en-US" sz="1200" baseline="0">
              <a:latin typeface="Trebuchet MS" panose="020B0603020202020204" pitchFamily="34" charset="0"/>
            </a:rPr>
            <a:t>This section does not do anything special or fancy! You set the goals and you can either use your Excel expertise to track progress on them yourself, or you can always throw this workbook into an LLM and ask it what you need to do! But, it might not be right! Be careful of that :) You may reach out to me as well if you want a certain feature added here or if you want help designing the formulas (cameronbrady1527@gmail.com or cameronbrady.dev/contact). Maybe I'll put out a new version of this with automated goal tracking options!</a:t>
          </a:r>
        </a:p>
        <a:p>
          <a:endParaRPr lang="en-US" sz="1200" baseline="0">
            <a:latin typeface="Trebuchet MS" panose="020B0603020202020204" pitchFamily="34" charset="0"/>
          </a:endParaRPr>
        </a:p>
        <a:p>
          <a:r>
            <a:rPr lang="en-US" sz="1200" b="1" u="sng" baseline="0">
              <a:latin typeface="Trebuchet MS" panose="020B0603020202020204" pitchFamily="34" charset="0"/>
            </a:rPr>
            <a:t>GOAL TYPE EXAMPLE</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1. ANNUAL MILEAGE GOAL:</a:t>
          </a:r>
          <a:br>
            <a:rPr lang="en-US" sz="1200" b="0" u="none" baseline="0">
              <a:latin typeface="Trebuchet MS" panose="020B0603020202020204" pitchFamily="34" charset="0"/>
            </a:rPr>
          </a:br>
          <a:r>
            <a:rPr lang="en-US" sz="1200" b="0" u="none" baseline="0">
              <a:latin typeface="Trebuchet MS" panose="020B0603020202020204" pitchFamily="34" charset="0"/>
            </a:rPr>
            <a:t>    Goal Name: "1000 Miles in 2025"</a:t>
          </a:r>
        </a:p>
        <a:p>
          <a:r>
            <a:rPr lang="en-US" sz="1200" b="0" u="none" baseline="0">
              <a:latin typeface="Trebuchet MS" panose="020B0603020202020204" pitchFamily="34" charset="0"/>
            </a:rPr>
            <a:t>    Goal Type: Annual Mileage</a:t>
          </a:r>
        </a:p>
        <a:p>
          <a:r>
            <a:rPr lang="en-US" sz="1200" b="0" u="none" baseline="0">
              <a:latin typeface="Trebuchet MS" panose="020B0603020202020204" pitchFamily="34" charset="0"/>
            </a:rPr>
            <a:t>    Target: 1000</a:t>
          </a:r>
        </a:p>
        <a:p>
          <a:r>
            <a:rPr lang="en-US" sz="1200" b="0" u="none" baseline="0">
              <a:latin typeface="Trebuchet MS" panose="020B0603020202020204" pitchFamily="34" charset="0"/>
            </a:rPr>
            <a:t>    Start Date: 01/01/2025</a:t>
          </a:r>
        </a:p>
        <a:p>
          <a:r>
            <a:rPr lang="en-US" sz="1200" b="0" u="none" baseline="0">
              <a:latin typeface="Trebuchet MS" panose="020B0603020202020204" pitchFamily="34" charset="0"/>
            </a:rPr>
            <a:t>    End Date: 12/31/2025</a:t>
          </a:r>
        </a:p>
        <a:p>
          <a:r>
            <a:rPr lang="en-US" sz="1200" b="0" u="none" baseline="0">
              <a:latin typeface="Trebuchet MS" panose="020B0603020202020204" pitchFamily="34" charset="0"/>
            </a:rPr>
            <a:t>    Current Progress: 50%</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2. PACE IMPROVEMENT GOAL:</a:t>
          </a:r>
          <a:br>
            <a:rPr lang="en-US" sz="1200" b="0" u="none" baseline="0">
              <a:latin typeface="Trebuchet MS" panose="020B0603020202020204" pitchFamily="34" charset="0"/>
            </a:rPr>
          </a:br>
          <a:r>
            <a:rPr lang="en-US" sz="1200" b="0" u="none" baseline="0">
              <a:latin typeface="Trebuchet MS" panose="020B0603020202020204" pitchFamily="34" charset="0"/>
            </a:rPr>
            <a:t>    Goal Name: "Break 9:00 pace"</a:t>
          </a:r>
        </a:p>
        <a:p>
          <a:r>
            <a:rPr lang="en-US" sz="1200" b="0" u="none" baseline="0">
              <a:latin typeface="Trebuchet MS" panose="020B0603020202020204" pitchFamily="34" charset="0"/>
            </a:rPr>
            <a:t>    Goal Type: Pace Target</a:t>
          </a:r>
        </a:p>
        <a:p>
          <a:r>
            <a:rPr lang="en-US" sz="1200" b="0" u="none" baseline="0">
              <a:latin typeface="Trebuchet MS" panose="020B0603020202020204" pitchFamily="34" charset="0"/>
            </a:rPr>
            <a:t>    Target: 9.0</a:t>
          </a:r>
        </a:p>
        <a:p>
          <a:r>
            <a:rPr lang="en-US" sz="1200" b="0" u="none" baseline="0">
              <a:latin typeface="Trebuchet MS" panose="020B0603020202020204" pitchFamily="34" charset="0"/>
            </a:rPr>
            <a:t>    Start Date: 04/01/2025</a:t>
          </a:r>
        </a:p>
        <a:p>
          <a:r>
            <a:rPr lang="en-US" sz="1200" b="0" u="none" baseline="0">
              <a:latin typeface="Trebuchet MS" panose="020B0603020202020204" pitchFamily="34" charset="0"/>
            </a:rPr>
            <a:t>    End Date: 04/30/2025</a:t>
          </a:r>
        </a:p>
        <a:p>
          <a:r>
            <a:rPr lang="en-US" sz="1200" b="0" u="none" baseline="0">
              <a:latin typeface="Trebuchet MS" panose="020B0603020202020204" pitchFamily="34" charset="0"/>
            </a:rPr>
            <a:t>    Current Progress: Check average pace in VISUALS chart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3. WEIGHT LOSS GOAL:</a:t>
          </a:r>
        </a:p>
        <a:p>
          <a:r>
            <a:rPr lang="en-US" sz="1200" b="0" u="none" baseline="0">
              <a:latin typeface="Trebuchet MS" panose="020B0603020202020204" pitchFamily="34" charset="0"/>
            </a:rPr>
            <a:t>    Goal Name: "Lose 10 lbs"</a:t>
          </a:r>
        </a:p>
        <a:p>
          <a:r>
            <a:rPr lang="en-US" sz="1200" b="0" u="none" baseline="0">
              <a:latin typeface="Trebuchet MS" panose="020B0603020202020204" pitchFamily="34" charset="0"/>
            </a:rPr>
            <a:t>    Goal Type: Weight Loss</a:t>
          </a:r>
        </a:p>
        <a:p>
          <a:r>
            <a:rPr lang="en-US" sz="1200" b="0" u="none" baseline="0">
              <a:latin typeface="Trebuchet MS" panose="020B0603020202020204" pitchFamily="34" charset="0"/>
            </a:rPr>
            <a:t>    Target: 10</a:t>
          </a:r>
        </a:p>
        <a:p>
          <a:r>
            <a:rPr lang="en-US" sz="1200" b="0" u="none" baseline="0">
              <a:latin typeface="Trebuchet MS" panose="020B0603020202020204" pitchFamily="34" charset="0"/>
            </a:rPr>
            <a:t>    Start Date: 08/01/2025</a:t>
          </a:r>
        </a:p>
        <a:p>
          <a:r>
            <a:rPr lang="en-US" sz="1200" b="0" u="none" baseline="0">
              <a:latin typeface="Trebuchet MS" panose="020B0603020202020204" pitchFamily="34" charset="0"/>
            </a:rPr>
            <a:t>    End Date: 11/01/2025</a:t>
          </a:r>
        </a:p>
        <a:p>
          <a:r>
            <a:rPr lang="en-US" sz="1200" b="0" u="none" baseline="0">
              <a:latin typeface="Trebuchet MS" panose="020B0603020202020204" pitchFamily="34" charset="0"/>
            </a:rPr>
            <a:t>    Current Progress: 4lbs left... 6 lost!</a:t>
          </a:r>
        </a:p>
        <a:p>
          <a:endParaRPr lang="en-US" sz="1200" b="0" u="none" baseline="0">
            <a:latin typeface="Trebuchet MS" panose="020B0603020202020204" pitchFamily="34" charset="0"/>
          </a:endParaRPr>
        </a:p>
        <a:p>
          <a:r>
            <a:rPr lang="en-US" sz="1200" b="1" u="sng">
              <a:latin typeface="Trebuchet MS" panose="020B0603020202020204" pitchFamily="34" charset="0"/>
            </a:rPr>
            <a:t>MILESTONES</a:t>
          </a:r>
          <a:r>
            <a:rPr lang="en-US" sz="1200" b="0" u="none">
              <a:latin typeface="Trebuchet MS" panose="020B0603020202020204" pitchFamily="34" charset="0"/>
            </a:rPr>
            <a:t>:</a:t>
          </a:r>
        </a:p>
        <a:p>
          <a:endParaRPr lang="en-US" sz="1200" b="0" u="none">
            <a:latin typeface="Trebuchet MS" panose="020B0603020202020204" pitchFamily="34" charset="0"/>
          </a:endParaRPr>
        </a:p>
        <a:p>
          <a:r>
            <a:rPr lang="en-US" sz="1200" b="0" u="none">
              <a:latin typeface="Trebuchet MS" panose="020B0603020202020204" pitchFamily="34" charset="0"/>
            </a:rPr>
            <a:t>Pretty</a:t>
          </a:r>
          <a:r>
            <a:rPr lang="en-US" sz="1200" b="0" u="none" baseline="0">
              <a:latin typeface="Trebuchet MS" panose="020B0603020202020204" pitchFamily="34" charset="0"/>
            </a:rPr>
            <a:t> self-explanatory. I have this section here to immortalize an abridged version of my accomplished goals. I think this is a great way to build a healthy relationship with your training and fitness! Its nice to see what you have accomplished. For this reason, keep setting goals, at easy and hard difficulties! You got this :)</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TIPS FOR EFFECTIVE GOAL SETTING</a:t>
          </a:r>
          <a:r>
            <a:rPr lang="en-US" sz="1200" b="0" u="none" baseline="0">
              <a:latin typeface="Trebuchet MS" panose="020B0603020202020204" pitchFamily="34" charset="0"/>
            </a:rPr>
            <a: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Use SMART Goals (Ugh, I know! But it works):</a:t>
          </a:r>
        </a:p>
        <a:p>
          <a:r>
            <a:rPr lang="en-US" sz="1200" b="0" u="none" baseline="0">
              <a:latin typeface="Trebuchet MS" panose="020B0603020202020204" pitchFamily="34" charset="0"/>
            </a:rPr>
            <a:t>- Specific: "Run 500 miles" not just run more</a:t>
          </a:r>
        </a:p>
        <a:p>
          <a:r>
            <a:rPr lang="en-US" sz="1200" b="0" u="none" baseline="0">
              <a:latin typeface="Trebuchet MS" panose="020B0603020202020204" pitchFamily="34" charset="0"/>
            </a:rPr>
            <a:t>-  Measurable: Track with numbers, statistics</a:t>
          </a:r>
        </a:p>
        <a:p>
          <a:r>
            <a:rPr lang="en-US" sz="1200" b="0" u="none" baseline="0">
              <a:latin typeface="Trebuchet MS" panose="020B0603020202020204" pitchFamily="34" charset="0"/>
            </a:rPr>
            <a:t>- Achievable: Challenging but realistic</a:t>
          </a:r>
        </a:p>
        <a:p>
          <a:r>
            <a:rPr lang="en-US" sz="1200" b="0" u="none" baseline="0">
              <a:latin typeface="Trebuchet MS" panose="020B0603020202020204" pitchFamily="34" charset="0"/>
            </a:rPr>
            <a:t>- Relevant: Support your race and fitness goals</a:t>
          </a:r>
        </a:p>
        <a:p>
          <a:r>
            <a:rPr lang="en-US" sz="1200" b="0" u="none" baseline="0">
              <a:latin typeface="Trebuchet MS" panose="020B0603020202020204" pitchFamily="34" charset="0"/>
            </a:rPr>
            <a:t>- Time-bound: Has a start and end date</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Balance Multiple Goals:</a:t>
          </a:r>
        </a:p>
        <a:p>
          <a:r>
            <a:rPr lang="en-US" sz="1200" b="0" u="none" baseline="0">
              <a:latin typeface="Trebuchet MS" panose="020B0603020202020204" pitchFamily="34" charset="0"/>
            </a:rPr>
            <a:t>- Set a few distance/mileage goals (1-2 maybe)</a:t>
          </a:r>
        </a:p>
        <a:p>
          <a:r>
            <a:rPr lang="en-US" sz="1200" b="0" u="none" baseline="0">
              <a:latin typeface="Trebuchet MS" panose="020B0603020202020204" pitchFamily="34" charset="0"/>
            </a:rPr>
            <a:t>- Set 1 frequency or consistency goal</a:t>
          </a:r>
        </a:p>
        <a:p>
          <a:r>
            <a:rPr lang="en-US" sz="1200" b="0" u="none" baseline="0">
              <a:latin typeface="Trebuchet MS" panose="020B0603020202020204" pitchFamily="34" charset="0"/>
            </a:rPr>
            <a:t>- Set 1 performance/pace goal</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Review Regularly:</a:t>
          </a:r>
        </a:p>
        <a:p>
          <a:r>
            <a:rPr lang="en-US" sz="1200" b="0" u="none" baseline="0">
              <a:latin typeface="Trebuchet MS" panose="020B0603020202020204" pitchFamily="34" charset="0"/>
            </a:rPr>
            <a:t>- Keeps you accountable</a:t>
          </a:r>
        </a:p>
        <a:p>
          <a:r>
            <a:rPr lang="en-US" sz="1200" b="0" u="none" baseline="0">
              <a:latin typeface="Trebuchet MS" panose="020B0603020202020204" pitchFamily="34" charset="0"/>
            </a:rPr>
            <a:t>- Forces you to think about goals =&gt; improvement!</a:t>
          </a:r>
        </a:p>
        <a:p>
          <a:r>
            <a:rPr lang="en-US" sz="1200" b="0" u="none" baseline="0">
              <a:latin typeface="Trebuchet MS" panose="020B0603020202020204" pitchFamily="34" charset="0"/>
            </a:rPr>
            <a:t>- Adjust if needed (life happens!)</a:t>
          </a:r>
        </a:p>
        <a:p>
          <a:r>
            <a:rPr lang="en-US" sz="1200" b="0" u="none" baseline="0">
              <a:latin typeface="Trebuchet MS" panose="020B0603020202020204" pitchFamily="34" charset="0"/>
            </a:rPr>
            <a:t>- Celebrate milestones along the way</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&gt; TIP: Start with 1-2 goals. Too many off the rip can be overwhelming</a:t>
          </a:r>
        </a:p>
        <a:p>
          <a:r>
            <a:rPr lang="en-US" sz="1200" b="0" u="none" baseline="0">
              <a:latin typeface="Trebuchet MS" panose="020B0603020202020204" pitchFamily="34" charset="0"/>
            </a:rPr>
            <a:t>&gt; TIP: Break large goals into smaller, more "digestable" goals (1000 miles in a year = 83mi/month = 19mi/wk!)</a:t>
          </a:r>
        </a:p>
        <a:p>
          <a:r>
            <a:rPr lang="en-US" sz="1200" b="0" u="none" baseline="0">
              <a:latin typeface="Trebuchet MS" panose="020B0603020202020204" pitchFamily="34" charset="0"/>
            </a:rPr>
            <a:t>&gt; TIP: CELEBRATE YOUR MILESTONES AND ACCOMPLISHMENTS</a:t>
          </a:r>
        </a:p>
      </xdr:txBody>
    </xdr:sp>
    <xdr:clientData/>
  </xdr:twoCellAnchor>
  <xdr:twoCellAnchor>
    <xdr:from>
      <xdr:col>1</xdr:col>
      <xdr:colOff>40341</xdr:colOff>
      <xdr:row>49</xdr:row>
      <xdr:rowOff>6723</xdr:rowOff>
    </xdr:from>
    <xdr:to>
      <xdr:col>6</xdr:col>
      <xdr:colOff>4982135</xdr:colOff>
      <xdr:row>58</xdr:row>
      <xdr:rowOff>11206</xdr:rowOff>
    </xdr:to>
    <xdr:sp macro="" textlink="">
      <xdr:nvSpPr>
        <xdr:cNvPr id="7" name="TextBox 6">
          <a:extLst>
            <a:ext uri="{FF2B5EF4-FFF2-40B4-BE49-F238E27FC236}">
              <a16:creationId xmlns:a16="http://schemas.microsoft.com/office/drawing/2014/main" id="{F33A1C99-C0D7-47AC-B1BA-BD4CDDC26735}"/>
            </a:ext>
          </a:extLst>
        </xdr:cNvPr>
        <xdr:cNvSpPr txBox="1"/>
      </xdr:nvSpPr>
      <xdr:spPr>
        <a:xfrm>
          <a:off x="2348753" y="59734076"/>
          <a:ext cx="7967382" cy="8879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u="none" baseline="0">
              <a:latin typeface="Trebuchet MS" panose="020B0603020202020204" pitchFamily="34" charset="0"/>
            </a:rPr>
            <a:t>Navigate to the VISUALS sheet to see some summary charts of your logs in DATA. The more you log, the better visualizations you see! These update automatically.</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CHART 1</a:t>
          </a:r>
          <a:r>
            <a:rPr lang="en-US" sz="1200" b="0" u="none" baseline="0">
              <a:latin typeface="Trebuchet MS" panose="020B0603020202020204" pitchFamily="34" charset="0"/>
            </a:rPr>
            <a:t>: </a:t>
          </a:r>
          <a:r>
            <a:rPr lang="en-US" sz="1200" b="1" u="none" baseline="0">
              <a:latin typeface="Trebuchet MS" panose="020B0603020202020204" pitchFamily="34" charset="0"/>
            </a:rPr>
            <a:t>WEEKLY RUNNING MILEAGE (top left)</a:t>
          </a:r>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What to look for:</a:t>
          </a:r>
        </a:p>
        <a:p>
          <a:r>
            <a:rPr lang="en-US" sz="1200" b="0" u="none" baseline="0">
              <a:latin typeface="Trebuchet MS" panose="020B0603020202020204" pitchFamily="34" charset="0"/>
            </a:rPr>
            <a:t>- Gradual increase in mileage is great! Look at you, building fitness :)</a:t>
          </a:r>
        </a:p>
        <a:p>
          <a:r>
            <a:rPr lang="en-US" sz="1200" b="0" u="none" baseline="0">
              <a:latin typeface="Trebuchet MS" panose="020B0603020202020204" pitchFamily="34" charset="0"/>
            </a:rPr>
            <a:t>- Sudden big jumps are scary! Jump scares, if you will. This is because rapid increases in activity can lead to injury.</a:t>
          </a:r>
        </a:p>
        <a:p>
          <a:r>
            <a:rPr lang="en-US" sz="1200" b="0" u="none" baseline="0">
              <a:latin typeface="Trebuchet MS" panose="020B0603020202020204" pitchFamily="34" charset="0"/>
            </a:rPr>
            <a:t>- Down weeks are normal! Your body needs recovery.</a:t>
          </a:r>
        </a:p>
        <a:p>
          <a:r>
            <a:rPr lang="en-US" sz="1200" b="0" u="none" baseline="0">
              <a:latin typeface="Trebuchet MS" panose="020B0603020202020204" pitchFamily="34" charset="0"/>
            </a:rPr>
            <a:t>- Consistent heights indicate you are maintaining running fitness levels (assumed other factors remain the same)</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CHART 2</a:t>
          </a:r>
          <a:r>
            <a:rPr lang="en-US" sz="1200" b="1" u="none" baseline="0">
              <a:latin typeface="Trebuchet MS" panose="020B0603020202020204" pitchFamily="34" charset="0"/>
            </a:rPr>
            <a:t>: ACTIVITY TYPE DISTRIBUTION (top right)</a:t>
          </a:r>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What to look for:</a:t>
          </a:r>
        </a:p>
        <a:p>
          <a:r>
            <a:rPr lang="en-US" sz="1200" b="0" u="none" baseline="0">
              <a:latin typeface="Trebuchet MS" panose="020B0603020202020204" pitchFamily="34" charset="0"/>
            </a:rPr>
            <a:t>- Is running your primary activity?</a:t>
          </a:r>
        </a:p>
        <a:p>
          <a:r>
            <a:rPr lang="en-US" sz="1200" b="0" u="none" baseline="0">
              <a:latin typeface="Trebuchet MS" panose="020B0603020202020204" pitchFamily="34" charset="0"/>
            </a:rPr>
            <a:t>- Are you incorporating cross-training?</a:t>
          </a:r>
        </a:p>
        <a:p>
          <a:r>
            <a:rPr lang="en-US" sz="1200" b="0" u="none" baseline="0">
              <a:latin typeface="Trebuchet MS" panose="020B0603020202020204" pitchFamily="34" charset="0"/>
            </a:rPr>
            <a:t>- What should you do more of? Less of?</a:t>
          </a:r>
        </a:p>
        <a:p>
          <a:r>
            <a:rPr lang="en-US" sz="1200" b="0" u="none" baseline="0">
              <a:latin typeface="Trebuchet MS" panose="020B0603020202020204" pitchFamily="34" charset="0"/>
            </a:rPr>
            <a:t>- Good balance could look like: 60-75% running, 20-30% cross-training, 5-10% rest</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CHART 3</a:t>
          </a:r>
          <a:r>
            <a:rPr lang="en-US" sz="1200" b="1" u="none" baseline="0">
              <a:latin typeface="Trebuchet MS" panose="020B0603020202020204" pitchFamily="34" charset="0"/>
            </a:rPr>
            <a:t>: PACE IMPROVEMENT TREND (middle left)</a:t>
          </a:r>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What to look for:</a:t>
          </a:r>
        </a:p>
        <a:p>
          <a:r>
            <a:rPr lang="en-US" sz="1200" b="0" u="none" baseline="0">
              <a:latin typeface="Trebuchet MS" panose="020B0603020202020204" pitchFamily="34" charset="0"/>
            </a:rPr>
            <a:t>- Downward trend means you're improving pace!</a:t>
          </a:r>
        </a:p>
        <a:p>
          <a:r>
            <a:rPr lang="en-US" sz="1200" b="0" u="none" baseline="0">
              <a:latin typeface="Trebuchet MS" panose="020B0603020202020204" pitchFamily="34" charset="0"/>
            </a:rPr>
            <a:t>- Consistent and slow paces are okay! Lot's of running experts actually recommend this.</a:t>
          </a:r>
        </a:p>
        <a:p>
          <a:r>
            <a:rPr lang="en-US" sz="1200" b="0" u="none" baseline="0">
              <a:latin typeface="Trebuchet MS" panose="020B0603020202020204" pitchFamily="34" charset="0"/>
            </a:rPr>
            <a:t>- Upward trend means you're decreasing in pace :( &lt;- maybe!</a:t>
          </a:r>
          <a:r>
            <a:rPr lang="en-US" sz="1200" b="1" u="none" baseline="0">
              <a:latin typeface="Trebuchet MS" panose="020B0603020202020204" pitchFamily="34" charset="0"/>
            </a:rPr>
            <a:t> </a:t>
          </a:r>
          <a:r>
            <a:rPr lang="en-US" sz="1200" b="0" u="none" baseline="0">
              <a:latin typeface="Trebuchet MS" panose="020B0603020202020204" pitchFamily="34" charset="0"/>
            </a:rPr>
            <a:t>maybe you're cool with that</a:t>
          </a:r>
        </a:p>
        <a:p>
          <a:r>
            <a:rPr lang="en-US" sz="1200" b="0" u="none" baseline="0">
              <a:latin typeface="Trebuchet MS" panose="020B0603020202020204" pitchFamily="34" charset="0"/>
            </a:rPr>
            <a:t>- Contextualize your statistics</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CHART 4</a:t>
          </a:r>
          <a:r>
            <a:rPr lang="en-US" sz="1200" b="0" u="none" baseline="0">
              <a:latin typeface="Trebuchet MS" panose="020B0603020202020204" pitchFamily="34" charset="0"/>
            </a:rPr>
            <a:t>: </a:t>
          </a:r>
          <a:r>
            <a:rPr lang="en-US" sz="1200" b="1" u="none" baseline="0">
              <a:latin typeface="Trebuchet MS" panose="020B0603020202020204" pitchFamily="34" charset="0"/>
            </a:rPr>
            <a:t>MONTHLY RUNNING MILEAGE (middle right)</a:t>
          </a: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What to look for:</a:t>
          </a:r>
        </a:p>
        <a:p>
          <a:r>
            <a:rPr lang="en-US" sz="1200" b="0" u="none" baseline="0">
              <a:latin typeface="Trebuchet MS" panose="020B0603020202020204" pitchFamily="34" charset="0"/>
            </a:rPr>
            <a:t>- Increasing mileage as you get closer to race day, taper (less miles for recovery) before</a:t>
          </a:r>
        </a:p>
        <a:p>
          <a:r>
            <a:rPr lang="en-US" sz="1200" b="0" u="none" baseline="0">
              <a:latin typeface="Trebuchet MS" panose="020B0603020202020204" pitchFamily="34" charset="0"/>
            </a:rPr>
            <a:t>- Peak Month: usually 3-4 weeks before race day</a:t>
          </a:r>
        </a:p>
        <a:p>
          <a:r>
            <a:rPr lang="en-US" sz="1200" b="0" u="none" baseline="0">
              <a:latin typeface="Trebuchet MS" panose="020B0603020202020204" pitchFamily="34" charset="0"/>
            </a:rPr>
            <a:t>- Off-season: lower months when not training for anything specific</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CHART 5</a:t>
          </a:r>
          <a:r>
            <a:rPr lang="en-US" sz="1200" b="1" u="none" baseline="0">
              <a:latin typeface="Trebuchet MS" panose="020B0603020202020204" pitchFamily="34" charset="0"/>
            </a:rPr>
            <a:t>: WEEKLY ELEVATION GAIN (bottom left)</a:t>
          </a:r>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What to look for:</a:t>
          </a:r>
        </a:p>
        <a:p>
          <a:r>
            <a:rPr lang="en-US" sz="1200" b="0" u="none" baseline="0">
              <a:latin typeface="Trebuchet MS" panose="020B0603020202020204" pitchFamily="34" charset="0"/>
            </a:rPr>
            <a:t>- If training for a hilly race, you want to see consistent elevation in your training</a:t>
          </a:r>
        </a:p>
        <a:p>
          <a:r>
            <a:rPr lang="en-US" sz="1200" b="0" u="none" baseline="0">
              <a:latin typeface="Trebuchet MS" panose="020B0603020202020204" pitchFamily="34" charset="0"/>
            </a:rPr>
            <a:t>- If training for a flat race, lower elevation is fine</a:t>
          </a:r>
        </a:p>
        <a:p>
          <a:r>
            <a:rPr lang="en-US" sz="1200" b="0" u="none" baseline="0">
              <a:latin typeface="Trebuchet MS" panose="020B0603020202020204" pitchFamily="34" charset="0"/>
            </a:rPr>
            <a:t>- Big spikes might indicate trail runs or specific hill workouts</a:t>
          </a:r>
        </a:p>
        <a:p>
          <a:endParaRPr lang="en-US" sz="1200" b="0" u="none" baseline="0">
            <a:latin typeface="Trebuchet MS" panose="020B0603020202020204" pitchFamily="34" charset="0"/>
          </a:endParaRPr>
        </a:p>
        <a:p>
          <a:r>
            <a:rPr lang="en-US" sz="1200" b="1" u="sng" baseline="0">
              <a:latin typeface="Trebuchet MS" panose="020B0603020202020204" pitchFamily="34" charset="0"/>
            </a:rPr>
            <a:t>CHART 6</a:t>
          </a:r>
          <a:r>
            <a:rPr lang="en-US" sz="1200" b="1" u="none" baseline="0">
              <a:latin typeface="Trebuchet MS" panose="020B0603020202020204" pitchFamily="34" charset="0"/>
            </a:rPr>
            <a:t>: EFFORT LEVEL DISTRIBUTION</a:t>
          </a:r>
          <a:endParaRPr lang="en-US" sz="1200" b="0" u="none" baseline="0">
            <a:latin typeface="Trebuchet MS" panose="020B0603020202020204" pitchFamily="34" charset="0"/>
          </a:endParaRPr>
        </a:p>
        <a:p>
          <a:endParaRPr lang="en-US" sz="1200" b="0" u="none" baseline="0">
            <a:latin typeface="Trebuchet MS" panose="020B0603020202020204" pitchFamily="34" charset="0"/>
          </a:endParaRPr>
        </a:p>
        <a:p>
          <a:r>
            <a:rPr lang="en-US" sz="1200" b="0" u="none" baseline="0">
              <a:latin typeface="Trebuchet MS" panose="020B0603020202020204" pitchFamily="34" charset="0"/>
            </a:rPr>
            <a:t>What to look for:</a:t>
          </a:r>
        </a:p>
        <a:p>
          <a:r>
            <a:rPr lang="en-US" sz="1200" b="0" u="none" baseline="0">
              <a:latin typeface="Trebuchet MS" panose="020B0603020202020204" pitchFamily="34" charset="0"/>
            </a:rPr>
            <a:t>- Most bars should be in the 3-6 range (easy to moderate)</a:t>
          </a:r>
        </a:p>
        <a:p>
          <a:r>
            <a:rPr lang="en-US" sz="1200" b="0" u="none" baseline="0">
              <a:latin typeface="Trebuchet MS" panose="020B0603020202020204" pitchFamily="34" charset="0"/>
            </a:rPr>
            <a:t>- The 80/20 rule: About 80% of your runs should be at an easy effort</a:t>
          </a:r>
        </a:p>
        <a:p>
          <a:r>
            <a:rPr lang="en-US" sz="1200" b="0" u="none" baseline="0">
              <a:latin typeface="Trebuchet MS" panose="020B0603020202020204" pitchFamily="34" charset="0"/>
            </a:rPr>
            <a:t>- Very few runs should be at level 10 (max effort)</a:t>
          </a:r>
        </a:p>
        <a:p>
          <a:r>
            <a:rPr lang="en-US" sz="1200" b="0" u="none" baseline="0">
              <a:latin typeface="Trebuchet MS" panose="020B0603020202020204" pitchFamily="34" charset="0"/>
            </a:rPr>
            <a:t>- Effort level is totally subjective! Measurement of this can be different by the day, week, time, etc.</a:t>
          </a:r>
          <a:endParaRPr lang="en-US" sz="1200" b="1" u="sng" baseline="0">
            <a:latin typeface="Trebuchet MS" panose="020B0603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5</xdr:row>
          <xdr:rowOff>30480</xdr:rowOff>
        </xdr:from>
        <xdr:to>
          <xdr:col>0</xdr:col>
          <xdr:colOff>2171700</xdr:colOff>
          <xdr:row>5</xdr:row>
          <xdr:rowOff>198120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Activity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7</xdr:col>
      <xdr:colOff>604025</xdr:colOff>
      <xdr:row>22</xdr:row>
      <xdr:rowOff>0</xdr:rowOff>
    </xdr:to>
    <xdr:graphicFrame macro="">
      <xdr:nvGraphicFramePr>
        <xdr:cNvPr id="2" name="Chart 1">
          <a:extLst>
            <a:ext uri="{FF2B5EF4-FFF2-40B4-BE49-F238E27FC236}">
              <a16:creationId xmlns:a16="http://schemas.microsoft.com/office/drawing/2014/main" id="{21831FCF-F802-E7E5-8772-5D31FEAA00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232</xdr:colOff>
      <xdr:row>1</xdr:row>
      <xdr:rowOff>4878</xdr:rowOff>
    </xdr:from>
    <xdr:to>
      <xdr:col>10</xdr:col>
      <xdr:colOff>3733799</xdr:colOff>
      <xdr:row>21</xdr:row>
      <xdr:rowOff>182879</xdr:rowOff>
    </xdr:to>
    <xdr:graphicFrame macro="">
      <xdr:nvGraphicFramePr>
        <xdr:cNvPr id="3" name="Chart 2">
          <a:extLst>
            <a:ext uri="{FF2B5EF4-FFF2-40B4-BE49-F238E27FC236}">
              <a16:creationId xmlns:a16="http://schemas.microsoft.com/office/drawing/2014/main" id="{FF36BDF2-9DD8-B7E9-2C33-A6DD84D969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24</xdr:row>
      <xdr:rowOff>1</xdr:rowOff>
    </xdr:from>
    <xdr:to>
      <xdr:col>8</xdr:col>
      <xdr:colOff>0</xdr:colOff>
      <xdr:row>45</xdr:row>
      <xdr:rowOff>1</xdr:rowOff>
    </xdr:to>
    <xdr:graphicFrame macro="">
      <xdr:nvGraphicFramePr>
        <xdr:cNvPr id="6" name="Chart 5">
          <a:extLst>
            <a:ext uri="{FF2B5EF4-FFF2-40B4-BE49-F238E27FC236}">
              <a16:creationId xmlns:a16="http://schemas.microsoft.com/office/drawing/2014/main" id="{319D12A7-3D94-8B6A-BF07-407C02ED58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4763</xdr:colOff>
      <xdr:row>24</xdr:row>
      <xdr:rowOff>10026</xdr:rowOff>
    </xdr:from>
    <xdr:to>
      <xdr:col>11</xdr:col>
      <xdr:colOff>1</xdr:colOff>
      <xdr:row>44</xdr:row>
      <xdr:rowOff>190499</xdr:rowOff>
    </xdr:to>
    <xdr:graphicFrame macro="">
      <xdr:nvGraphicFramePr>
        <xdr:cNvPr id="7" name="Chart 6">
          <a:extLst>
            <a:ext uri="{FF2B5EF4-FFF2-40B4-BE49-F238E27FC236}">
              <a16:creationId xmlns:a16="http://schemas.microsoft.com/office/drawing/2014/main" id="{7E917786-F9BC-6DE3-FEAD-8C2DE9953F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47</xdr:row>
      <xdr:rowOff>5013</xdr:rowOff>
    </xdr:from>
    <xdr:to>
      <xdr:col>8</xdr:col>
      <xdr:colOff>0</xdr:colOff>
      <xdr:row>68</xdr:row>
      <xdr:rowOff>0</xdr:rowOff>
    </xdr:to>
    <xdr:graphicFrame macro="">
      <xdr:nvGraphicFramePr>
        <xdr:cNvPr id="8" name="Chart 7">
          <a:extLst>
            <a:ext uri="{FF2B5EF4-FFF2-40B4-BE49-F238E27FC236}">
              <a16:creationId xmlns:a16="http://schemas.microsoft.com/office/drawing/2014/main" id="{7B203091-23D3-AEA8-5BC2-EDA637BCBB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1149</xdr:colOff>
      <xdr:row>47</xdr:row>
      <xdr:rowOff>2135</xdr:rowOff>
    </xdr:from>
    <xdr:to>
      <xdr:col>10</xdr:col>
      <xdr:colOff>3641271</xdr:colOff>
      <xdr:row>68</xdr:row>
      <xdr:rowOff>5443</xdr:rowOff>
    </xdr:to>
    <xdr:graphicFrame macro="">
      <xdr:nvGraphicFramePr>
        <xdr:cNvPr id="9" name="Chart 8">
          <a:extLst>
            <a:ext uri="{FF2B5EF4-FFF2-40B4-BE49-F238E27FC236}">
              <a16:creationId xmlns:a16="http://schemas.microsoft.com/office/drawing/2014/main" id="{74F7A734-D87A-9EE0-DF7C-7CDA8D7F82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C073D55-269E-4DDC-8782-8C7D92C477C7}" name="Table3" displayName="Table3" ref="G4:J100" totalsRowShown="0" headerRowDxfId="6" dataDxfId="4" headerRowBorderDxfId="5">
  <autoFilter ref="G4:J100" xr:uid="{7C073D55-269E-4DDC-8782-8C7D92C477C7}"/>
  <tableColumns count="4">
    <tableColumn id="1" xr3:uid="{6A626DDA-2BE9-49AC-9FCC-A7BBBDE27E0C}" name="Milestone Name" dataDxfId="3"/>
    <tableColumn id="2" xr3:uid="{8FBC4E15-FE1B-4122-9169-7AFBB0DFAB0B}" name="Target Value" dataDxfId="2"/>
    <tableColumn id="3" xr3:uid="{603ADA44-3056-4F45-93CC-F5039BB404F0}" name="Date Achieved" dataDxfId="1"/>
    <tableColumn id="4" xr3:uid="{2C3CF5EE-6018-4092-B0B0-9E2EC1AB7E25}" name="Notes" dataDxfId="0"/>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5"/>
  <sheetViews>
    <sheetView workbookViewId="0">
      <selection activeCell="E18" sqref="E18"/>
    </sheetView>
  </sheetViews>
  <sheetFormatPr defaultColWidth="9.109375" defaultRowHeight="14.4" x14ac:dyDescent="0.3"/>
  <cols>
    <col min="1" max="1" width="10.6640625" style="99" bestFit="1" customWidth="1"/>
    <col min="2" max="2" width="11.88671875" style="99" bestFit="1" customWidth="1"/>
    <col min="3" max="3" width="10.6640625" style="99" bestFit="1" customWidth="1"/>
    <col min="4" max="16384" width="9.109375" style="99"/>
  </cols>
  <sheetData>
    <row r="1" spans="1:15" ht="28.5" thickBot="1" x14ac:dyDescent="0.5">
      <c r="A1" s="129" t="s">
        <v>90</v>
      </c>
      <c r="B1" s="129"/>
      <c r="C1" s="129"/>
      <c r="D1" s="129"/>
      <c r="E1" s="129"/>
      <c r="F1" s="129"/>
      <c r="G1" s="129"/>
      <c r="H1" s="129"/>
      <c r="I1" s="129"/>
      <c r="J1" s="129"/>
      <c r="K1" s="129"/>
      <c r="L1" s="129"/>
      <c r="M1" s="129"/>
      <c r="N1" s="129"/>
      <c r="O1" s="129"/>
    </row>
    <row r="3" spans="1:15" ht="18.75" x14ac:dyDescent="0.3">
      <c r="A3" s="130" t="s">
        <v>91</v>
      </c>
      <c r="B3" s="130"/>
      <c r="C3" s="130"/>
      <c r="D3" s="130"/>
    </row>
    <row r="4" spans="1:15" ht="18" x14ac:dyDescent="0.35">
      <c r="A4" s="100" t="s">
        <v>92</v>
      </c>
      <c r="B4" s="101">
        <f ca="1">_xlfn.MAXIFS(DATA!$B:$B,DATA!$B:$B,"&lt;="&amp;TODAY())</f>
        <v>45996</v>
      </c>
      <c r="C4" s="100" t="s">
        <v>93</v>
      </c>
      <c r="D4" s="102" t="str">
        <f ca="1">IFERROR(INDEX(DATA!$D:$D,MATCH(B4,DATA!$B:$B,0))&amp;" mi","-")</f>
        <v>5.2 mi</v>
      </c>
    </row>
    <row r="5" spans="1:15" ht="16.5" x14ac:dyDescent="0.3">
      <c r="A5" s="100" t="s">
        <v>94</v>
      </c>
      <c r="B5" s="103" t="str">
        <f ca="1">IFERROR(TEXT(INDEX(DATA!$F:$F,MATCH($B$4,DATA!$B:$B,0)),"0.00")&amp;" min/mi","-")</f>
        <v>0.01 min/mi</v>
      </c>
    </row>
  </sheetData>
  <mergeCells count="2">
    <mergeCell ref="A1:O1"/>
    <mergeCell ref="A3:D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1514D-1597-4558-A72F-DCF112176AC4}">
  <sheetPr codeName="Sheet7"/>
  <dimension ref="A1:G69"/>
  <sheetViews>
    <sheetView zoomScale="85" zoomScaleNormal="85" workbookViewId="0">
      <selection activeCell="K1" sqref="K1"/>
    </sheetView>
  </sheetViews>
  <sheetFormatPr defaultColWidth="9.109375" defaultRowHeight="14.4" x14ac:dyDescent="0.3"/>
  <cols>
    <col min="1" max="1" width="34.5546875" style="1" customWidth="1"/>
    <col min="2" max="6" width="9.109375" style="1"/>
    <col min="7" max="7" width="74.88671875" style="1" customWidth="1"/>
    <col min="8" max="16384" width="9.109375" style="1"/>
  </cols>
  <sheetData>
    <row r="1" spans="1:7" ht="28.5" x14ac:dyDescent="0.45">
      <c r="A1" s="133" t="s">
        <v>50</v>
      </c>
      <c r="B1" s="133"/>
      <c r="C1" s="133"/>
      <c r="D1" s="133"/>
      <c r="E1" s="133"/>
      <c r="F1" s="133"/>
      <c r="G1" s="133"/>
    </row>
    <row r="3" spans="1:7" x14ac:dyDescent="0.3">
      <c r="A3" s="134" t="s">
        <v>51</v>
      </c>
      <c r="B3" s="135"/>
      <c r="C3" s="135"/>
      <c r="D3" s="135"/>
      <c r="E3" s="135"/>
      <c r="F3" s="135"/>
      <c r="G3" s="135"/>
    </row>
    <row r="4" spans="1:7" x14ac:dyDescent="0.3">
      <c r="A4" s="134"/>
      <c r="B4" s="135"/>
      <c r="C4" s="135"/>
      <c r="D4" s="135"/>
      <c r="E4" s="135"/>
      <c r="F4" s="135"/>
      <c r="G4" s="135"/>
    </row>
    <row r="5" spans="1:7" x14ac:dyDescent="0.3">
      <c r="A5" s="134"/>
      <c r="B5" s="135"/>
      <c r="C5" s="135"/>
      <c r="D5" s="135"/>
      <c r="E5" s="135"/>
      <c r="F5" s="135"/>
      <c r="G5" s="135"/>
    </row>
    <row r="6" spans="1:7" x14ac:dyDescent="0.3">
      <c r="A6" s="134"/>
      <c r="B6" s="135"/>
      <c r="C6" s="135"/>
      <c r="D6" s="135"/>
      <c r="E6" s="135"/>
      <c r="F6" s="135"/>
      <c r="G6" s="135"/>
    </row>
    <row r="7" spans="1:7" x14ac:dyDescent="0.3">
      <c r="A7" s="134"/>
      <c r="B7" s="135"/>
      <c r="C7" s="135"/>
      <c r="D7" s="135"/>
      <c r="E7" s="135"/>
      <c r="F7" s="135"/>
      <c r="G7" s="135"/>
    </row>
    <row r="8" spans="1:7" x14ac:dyDescent="0.3">
      <c r="A8" s="134"/>
      <c r="B8" s="135"/>
      <c r="C8" s="135"/>
      <c r="D8" s="135"/>
      <c r="E8" s="135"/>
      <c r="F8" s="135"/>
      <c r="G8" s="135"/>
    </row>
    <row r="9" spans="1:7" x14ac:dyDescent="0.3">
      <c r="A9" s="134"/>
      <c r="B9" s="135"/>
      <c r="C9" s="135"/>
      <c r="D9" s="135"/>
      <c r="E9" s="135"/>
      <c r="F9" s="135"/>
      <c r="G9" s="135"/>
    </row>
    <row r="10" spans="1:7" ht="360.75" customHeight="1" x14ac:dyDescent="0.3">
      <c r="A10" s="134"/>
      <c r="B10" s="135"/>
      <c r="C10" s="135"/>
      <c r="D10" s="135"/>
      <c r="E10" s="135"/>
      <c r="F10" s="135"/>
      <c r="G10" s="135"/>
    </row>
    <row r="12" spans="1:7" x14ac:dyDescent="0.3">
      <c r="A12" s="134" t="s">
        <v>52</v>
      </c>
      <c r="B12" s="132"/>
      <c r="C12" s="132"/>
      <c r="D12" s="132"/>
      <c r="E12" s="132"/>
      <c r="F12" s="132"/>
      <c r="G12" s="132"/>
    </row>
    <row r="13" spans="1:7" x14ac:dyDescent="0.3">
      <c r="A13" s="134"/>
      <c r="B13" s="132"/>
      <c r="C13" s="132"/>
      <c r="D13" s="132"/>
      <c r="E13" s="132"/>
      <c r="F13" s="132"/>
      <c r="G13" s="132"/>
    </row>
    <row r="14" spans="1:7" x14ac:dyDescent="0.3">
      <c r="A14" s="134"/>
      <c r="B14" s="132"/>
      <c r="C14" s="132"/>
      <c r="D14" s="132"/>
      <c r="E14" s="132"/>
      <c r="F14" s="132"/>
      <c r="G14" s="132"/>
    </row>
    <row r="15" spans="1:7" x14ac:dyDescent="0.3">
      <c r="A15" s="134"/>
      <c r="B15" s="132"/>
      <c r="C15" s="132"/>
      <c r="D15" s="132"/>
      <c r="E15" s="132"/>
      <c r="F15" s="132"/>
      <c r="G15" s="132"/>
    </row>
    <row r="16" spans="1:7" x14ac:dyDescent="0.3">
      <c r="A16" s="134"/>
      <c r="B16" s="132"/>
      <c r="C16" s="132"/>
      <c r="D16" s="132"/>
      <c r="E16" s="132"/>
      <c r="F16" s="132"/>
      <c r="G16" s="132"/>
    </row>
    <row r="17" spans="1:7" ht="409.5" customHeight="1" x14ac:dyDescent="0.3">
      <c r="A17" s="134"/>
      <c r="B17" s="132"/>
      <c r="C17" s="132"/>
      <c r="D17" s="132"/>
      <c r="E17" s="132"/>
      <c r="F17" s="132"/>
      <c r="G17" s="132"/>
    </row>
    <row r="18" spans="1:7" ht="359.25" customHeight="1" x14ac:dyDescent="0.3">
      <c r="A18" s="134"/>
      <c r="B18" s="132"/>
      <c r="C18" s="132"/>
      <c r="D18" s="132"/>
      <c r="E18" s="132"/>
      <c r="F18" s="132"/>
      <c r="G18" s="132"/>
    </row>
    <row r="19" spans="1:7" ht="16.5" x14ac:dyDescent="0.3">
      <c r="B19" s="2"/>
      <c r="C19" s="2"/>
      <c r="D19" s="2"/>
      <c r="E19" s="2"/>
      <c r="F19" s="2"/>
      <c r="G19" s="2"/>
    </row>
    <row r="20" spans="1:7" x14ac:dyDescent="0.3">
      <c r="A20" s="134" t="s">
        <v>53</v>
      </c>
      <c r="B20" s="132"/>
      <c r="C20" s="132"/>
      <c r="D20" s="132"/>
      <c r="E20" s="132"/>
      <c r="F20" s="132"/>
      <c r="G20" s="132"/>
    </row>
    <row r="21" spans="1:7" x14ac:dyDescent="0.3">
      <c r="A21" s="134"/>
      <c r="B21" s="132"/>
      <c r="C21" s="132"/>
      <c r="D21" s="132"/>
      <c r="E21" s="132"/>
      <c r="F21" s="132"/>
      <c r="G21" s="132"/>
    </row>
    <row r="22" spans="1:7" x14ac:dyDescent="0.3">
      <c r="A22" s="134"/>
      <c r="B22" s="132"/>
      <c r="C22" s="132"/>
      <c r="D22" s="132"/>
      <c r="E22" s="132"/>
      <c r="F22" s="132"/>
      <c r="G22" s="132"/>
    </row>
    <row r="23" spans="1:7" x14ac:dyDescent="0.3">
      <c r="A23" s="134"/>
      <c r="B23" s="132"/>
      <c r="C23" s="132"/>
      <c r="D23" s="132"/>
      <c r="E23" s="132"/>
      <c r="F23" s="132"/>
      <c r="G23" s="132"/>
    </row>
    <row r="24" spans="1:7" ht="409.5" customHeight="1" x14ac:dyDescent="0.3">
      <c r="A24" s="134"/>
      <c r="B24" s="132"/>
      <c r="C24" s="132"/>
      <c r="D24" s="132"/>
      <c r="E24" s="132"/>
      <c r="F24" s="132"/>
      <c r="G24" s="132"/>
    </row>
    <row r="25" spans="1:7" x14ac:dyDescent="0.3">
      <c r="A25" s="134"/>
      <c r="B25" s="132"/>
      <c r="C25" s="132"/>
      <c r="D25" s="132"/>
      <c r="E25" s="132"/>
      <c r="F25" s="132"/>
      <c r="G25" s="132"/>
    </row>
    <row r="26" spans="1:7" ht="409.5" customHeight="1" x14ac:dyDescent="0.3">
      <c r="A26" s="134"/>
      <c r="B26" s="132"/>
      <c r="C26" s="132"/>
      <c r="D26" s="132"/>
      <c r="E26" s="132"/>
      <c r="F26" s="132"/>
      <c r="G26" s="132"/>
    </row>
    <row r="27" spans="1:7" ht="242.25" customHeight="1" x14ac:dyDescent="0.3">
      <c r="A27" s="134"/>
      <c r="B27" s="132"/>
      <c r="C27" s="132"/>
      <c r="D27" s="132"/>
      <c r="E27" s="132"/>
      <c r="F27" s="132"/>
      <c r="G27" s="132"/>
    </row>
    <row r="28" spans="1:7" x14ac:dyDescent="0.3">
      <c r="A28" s="134"/>
      <c r="B28" s="132"/>
      <c r="C28" s="132"/>
      <c r="D28" s="132"/>
      <c r="E28" s="132"/>
      <c r="F28" s="132"/>
      <c r="G28" s="132"/>
    </row>
    <row r="30" spans="1:7" x14ac:dyDescent="0.3">
      <c r="A30" s="134" t="s">
        <v>54</v>
      </c>
      <c r="B30" s="132"/>
      <c r="C30" s="132"/>
      <c r="D30" s="132"/>
      <c r="E30" s="132"/>
      <c r="F30" s="132"/>
      <c r="G30" s="132"/>
    </row>
    <row r="31" spans="1:7" x14ac:dyDescent="0.3">
      <c r="A31" s="134"/>
      <c r="B31" s="132"/>
      <c r="C31" s="132"/>
      <c r="D31" s="132"/>
      <c r="E31" s="132"/>
      <c r="F31" s="132"/>
      <c r="G31" s="132"/>
    </row>
    <row r="32" spans="1:7" x14ac:dyDescent="0.3">
      <c r="A32" s="134"/>
      <c r="B32" s="132"/>
      <c r="C32" s="132"/>
      <c r="D32" s="132"/>
      <c r="E32" s="132"/>
      <c r="F32" s="132"/>
      <c r="G32" s="132"/>
    </row>
    <row r="33" spans="1:7" x14ac:dyDescent="0.3">
      <c r="A33" s="134"/>
      <c r="B33" s="132"/>
      <c r="C33" s="132"/>
      <c r="D33" s="132"/>
      <c r="E33" s="132"/>
      <c r="F33" s="132"/>
      <c r="G33" s="132"/>
    </row>
    <row r="34" spans="1:7" x14ac:dyDescent="0.3">
      <c r="A34" s="134"/>
      <c r="B34" s="132"/>
      <c r="C34" s="132"/>
      <c r="D34" s="132"/>
      <c r="E34" s="132"/>
      <c r="F34" s="132"/>
      <c r="G34" s="132"/>
    </row>
    <row r="35" spans="1:7" x14ac:dyDescent="0.3">
      <c r="A35" s="134"/>
      <c r="B35" s="132"/>
      <c r="C35" s="132"/>
      <c r="D35" s="132"/>
      <c r="E35" s="132"/>
      <c r="F35" s="132"/>
      <c r="G35" s="132"/>
    </row>
    <row r="36" spans="1:7" ht="409.5" customHeight="1" x14ac:dyDescent="0.3">
      <c r="A36" s="134"/>
      <c r="B36" s="132"/>
      <c r="C36" s="132"/>
      <c r="D36" s="132"/>
      <c r="E36" s="132"/>
      <c r="F36" s="132"/>
      <c r="G36" s="132"/>
    </row>
    <row r="37" spans="1:7" ht="409.5" customHeight="1" x14ac:dyDescent="0.3">
      <c r="A37" s="134"/>
      <c r="B37" s="132"/>
      <c r="C37" s="132"/>
      <c r="D37" s="132"/>
      <c r="E37" s="132"/>
      <c r="F37" s="132"/>
      <c r="G37" s="132"/>
    </row>
    <row r="38" spans="1:7" ht="253.5" customHeight="1" x14ac:dyDescent="0.3">
      <c r="A38" s="134"/>
      <c r="B38" s="132"/>
      <c r="C38" s="132"/>
      <c r="D38" s="132"/>
      <c r="E38" s="132"/>
      <c r="F38" s="132"/>
      <c r="G38" s="132"/>
    </row>
    <row r="40" spans="1:7" x14ac:dyDescent="0.3">
      <c r="A40" s="134" t="s">
        <v>55</v>
      </c>
      <c r="B40" s="132"/>
      <c r="C40" s="132"/>
      <c r="D40" s="132"/>
      <c r="E40" s="132"/>
      <c r="F40" s="132"/>
      <c r="G40" s="132"/>
    </row>
    <row r="41" spans="1:7" x14ac:dyDescent="0.3">
      <c r="A41" s="134"/>
      <c r="B41" s="132"/>
      <c r="C41" s="132"/>
      <c r="D41" s="132"/>
      <c r="E41" s="132"/>
      <c r="F41" s="132"/>
      <c r="G41" s="132"/>
    </row>
    <row r="42" spans="1:7" x14ac:dyDescent="0.3">
      <c r="A42" s="134"/>
      <c r="B42" s="132"/>
      <c r="C42" s="132"/>
      <c r="D42" s="132"/>
      <c r="E42" s="132"/>
      <c r="F42" s="132"/>
      <c r="G42" s="132"/>
    </row>
    <row r="43" spans="1:7" x14ac:dyDescent="0.3">
      <c r="A43" s="134"/>
      <c r="B43" s="132"/>
      <c r="C43" s="132"/>
      <c r="D43" s="132"/>
      <c r="E43" s="132"/>
      <c r="F43" s="132"/>
      <c r="G43" s="132"/>
    </row>
    <row r="44" spans="1:7" x14ac:dyDescent="0.3">
      <c r="A44" s="134"/>
      <c r="B44" s="132"/>
      <c r="C44" s="132"/>
      <c r="D44" s="132"/>
      <c r="E44" s="132"/>
      <c r="F44" s="132"/>
      <c r="G44" s="132"/>
    </row>
    <row r="45" spans="1:7" x14ac:dyDescent="0.3">
      <c r="A45" s="134"/>
      <c r="B45" s="132"/>
      <c r="C45" s="132"/>
      <c r="D45" s="132"/>
      <c r="E45" s="132"/>
      <c r="F45" s="132"/>
      <c r="G45" s="132"/>
    </row>
    <row r="46" spans="1:7" ht="409.5" customHeight="1" x14ac:dyDescent="0.3">
      <c r="A46" s="134"/>
      <c r="B46" s="132"/>
      <c r="C46" s="132"/>
      <c r="D46" s="132"/>
      <c r="E46" s="132"/>
      <c r="F46" s="132"/>
      <c r="G46" s="132"/>
    </row>
    <row r="47" spans="1:7" ht="381.75" customHeight="1" x14ac:dyDescent="0.3">
      <c r="A47" s="134"/>
      <c r="B47" s="132"/>
      <c r="C47" s="132"/>
      <c r="D47" s="132"/>
      <c r="E47" s="132"/>
      <c r="F47" s="132"/>
      <c r="G47" s="132"/>
    </row>
    <row r="48" spans="1:7" x14ac:dyDescent="0.3">
      <c r="A48" s="134"/>
      <c r="B48" s="132"/>
      <c r="C48" s="132"/>
      <c r="D48" s="132"/>
      <c r="E48" s="132"/>
      <c r="F48" s="132"/>
      <c r="G48" s="132"/>
    </row>
    <row r="50" spans="1:7" x14ac:dyDescent="0.3">
      <c r="A50" s="134" t="s">
        <v>56</v>
      </c>
      <c r="B50" s="132"/>
      <c r="C50" s="132"/>
      <c r="D50" s="132"/>
      <c r="E50" s="132"/>
      <c r="F50" s="132"/>
      <c r="G50" s="132"/>
    </row>
    <row r="51" spans="1:7" x14ac:dyDescent="0.3">
      <c r="A51" s="134"/>
      <c r="B51" s="132"/>
      <c r="C51" s="132"/>
      <c r="D51" s="132"/>
      <c r="E51" s="132"/>
      <c r="F51" s="132"/>
      <c r="G51" s="132"/>
    </row>
    <row r="52" spans="1:7" x14ac:dyDescent="0.3">
      <c r="A52" s="134"/>
      <c r="B52" s="132"/>
      <c r="C52" s="132"/>
      <c r="D52" s="132"/>
      <c r="E52" s="132"/>
      <c r="F52" s="132"/>
      <c r="G52" s="132"/>
    </row>
    <row r="53" spans="1:7" x14ac:dyDescent="0.3">
      <c r="A53" s="134"/>
      <c r="B53" s="132"/>
      <c r="C53" s="132"/>
      <c r="D53" s="132"/>
      <c r="E53" s="132"/>
      <c r="F53" s="132"/>
      <c r="G53" s="132"/>
    </row>
    <row r="54" spans="1:7" x14ac:dyDescent="0.3">
      <c r="A54" s="134"/>
      <c r="B54" s="132"/>
      <c r="C54" s="132"/>
      <c r="D54" s="132"/>
      <c r="E54" s="132"/>
      <c r="F54" s="132"/>
      <c r="G54" s="132"/>
    </row>
    <row r="55" spans="1:7" x14ac:dyDescent="0.3">
      <c r="A55" s="134"/>
      <c r="B55" s="132"/>
      <c r="C55" s="132"/>
      <c r="D55" s="132"/>
      <c r="E55" s="132"/>
      <c r="F55" s="132"/>
      <c r="G55" s="132"/>
    </row>
    <row r="56" spans="1:7" ht="409.5" customHeight="1" x14ac:dyDescent="0.3">
      <c r="A56" s="134"/>
      <c r="B56" s="132"/>
      <c r="C56" s="132"/>
      <c r="D56" s="132"/>
      <c r="E56" s="132"/>
      <c r="F56" s="132"/>
      <c r="G56" s="132"/>
    </row>
    <row r="57" spans="1:7" x14ac:dyDescent="0.3">
      <c r="A57" s="134"/>
      <c r="B57" s="132"/>
      <c r="C57" s="132"/>
      <c r="D57" s="132"/>
      <c r="E57" s="132"/>
      <c r="F57" s="132"/>
      <c r="G57" s="132"/>
    </row>
    <row r="58" spans="1:7" ht="171.75" customHeight="1" x14ac:dyDescent="0.3">
      <c r="A58" s="134"/>
      <c r="B58" s="132"/>
      <c r="C58" s="132"/>
      <c r="D58" s="132"/>
      <c r="E58" s="132"/>
      <c r="F58" s="132"/>
      <c r="G58" s="132"/>
    </row>
    <row r="60" spans="1:7" ht="16.5" hidden="1" x14ac:dyDescent="0.3">
      <c r="A60" s="134" t="s">
        <v>57</v>
      </c>
      <c r="B60" s="132"/>
      <c r="C60" s="132"/>
      <c r="D60" s="132"/>
      <c r="E60" s="132"/>
      <c r="F60" s="132"/>
      <c r="G60" s="132"/>
    </row>
    <row r="61" spans="1:7" ht="16.5" hidden="1" x14ac:dyDescent="0.3">
      <c r="A61" s="134"/>
      <c r="B61" s="132"/>
      <c r="C61" s="132"/>
      <c r="D61" s="132"/>
      <c r="E61" s="132"/>
      <c r="F61" s="132"/>
      <c r="G61" s="132"/>
    </row>
    <row r="62" spans="1:7" ht="16.5" hidden="1" x14ac:dyDescent="0.3">
      <c r="A62" s="134"/>
      <c r="B62" s="132"/>
      <c r="C62" s="132"/>
      <c r="D62" s="132"/>
      <c r="E62" s="132"/>
      <c r="F62" s="132"/>
      <c r="G62" s="132"/>
    </row>
    <row r="63" spans="1:7" ht="16.5" hidden="1" x14ac:dyDescent="0.3">
      <c r="A63" s="134"/>
      <c r="B63" s="132"/>
      <c r="C63" s="132"/>
      <c r="D63" s="132"/>
      <c r="E63" s="132"/>
      <c r="F63" s="132"/>
      <c r="G63" s="132"/>
    </row>
    <row r="64" spans="1:7" ht="16.5" hidden="1" x14ac:dyDescent="0.3">
      <c r="A64" s="134"/>
      <c r="B64" s="132"/>
      <c r="C64" s="132"/>
      <c r="D64" s="132"/>
      <c r="E64" s="132"/>
      <c r="F64" s="132"/>
      <c r="G64" s="132"/>
    </row>
    <row r="65" spans="1:7" ht="16.5" hidden="1" x14ac:dyDescent="0.3">
      <c r="A65" s="134"/>
      <c r="B65" s="132"/>
      <c r="C65" s="132"/>
      <c r="D65" s="132"/>
      <c r="E65" s="132"/>
      <c r="F65" s="132"/>
      <c r="G65" s="132"/>
    </row>
    <row r="66" spans="1:7" ht="16.5" hidden="1" x14ac:dyDescent="0.3">
      <c r="A66" s="134"/>
      <c r="B66" s="132"/>
      <c r="C66" s="132"/>
      <c r="D66" s="132"/>
      <c r="E66" s="132"/>
      <c r="F66" s="132"/>
      <c r="G66" s="132"/>
    </row>
    <row r="67" spans="1:7" ht="16.5" hidden="1" x14ac:dyDescent="0.3">
      <c r="A67" s="134"/>
      <c r="B67" s="132"/>
      <c r="C67" s="132"/>
      <c r="D67" s="132"/>
      <c r="E67" s="132"/>
      <c r="F67" s="132"/>
      <c r="G67" s="132"/>
    </row>
    <row r="68" spans="1:7" ht="16.5" hidden="1" x14ac:dyDescent="0.3">
      <c r="A68" s="134"/>
      <c r="B68" s="132"/>
      <c r="C68" s="132"/>
      <c r="D68" s="132"/>
      <c r="E68" s="132"/>
      <c r="F68" s="132"/>
      <c r="G68" s="132"/>
    </row>
    <row r="69" spans="1:7" ht="75" customHeight="1" x14ac:dyDescent="0.3">
      <c r="A69" s="131" t="s">
        <v>114</v>
      </c>
      <c r="B69" s="131"/>
      <c r="C69" s="131"/>
      <c r="D69" s="131"/>
      <c r="E69" s="131"/>
      <c r="F69" s="131"/>
      <c r="G69" s="131"/>
    </row>
  </sheetData>
  <mergeCells count="16">
    <mergeCell ref="A1:G1"/>
    <mergeCell ref="A60:A68"/>
    <mergeCell ref="B3:G10"/>
    <mergeCell ref="B12:G18"/>
    <mergeCell ref="B20:G28"/>
    <mergeCell ref="A3:A10"/>
    <mergeCell ref="A12:A18"/>
    <mergeCell ref="A20:A28"/>
    <mergeCell ref="A30:A38"/>
    <mergeCell ref="A40:A48"/>
    <mergeCell ref="A50:A58"/>
    <mergeCell ref="A69:G69"/>
    <mergeCell ref="B30:G38"/>
    <mergeCell ref="B40:G48"/>
    <mergeCell ref="B50:G58"/>
    <mergeCell ref="B60:G6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A860A-F2F3-4FF3-97DE-47049AE21A40}">
  <sheetPr codeName="Sheet2"/>
  <dimension ref="A1:M41"/>
  <sheetViews>
    <sheetView workbookViewId="0">
      <selection activeCell="C7" sqref="C7"/>
    </sheetView>
  </sheetViews>
  <sheetFormatPr defaultColWidth="9.109375" defaultRowHeight="14.4" x14ac:dyDescent="0.3"/>
  <cols>
    <col min="1" max="1" width="9.109375" style="1"/>
    <col min="2" max="2" width="31.88671875" style="1" bestFit="1" customWidth="1"/>
    <col min="3" max="3" width="38" style="1" customWidth="1"/>
    <col min="4" max="5" width="9.109375" style="1"/>
    <col min="6" max="6" width="9.88671875" style="1" customWidth="1"/>
    <col min="7" max="7" width="14.44140625" style="1" customWidth="1"/>
    <col min="8" max="8" width="13.5546875" style="1" customWidth="1"/>
    <col min="9" max="9" width="14.33203125" style="1" customWidth="1"/>
    <col min="10" max="10" width="9.109375" style="1"/>
    <col min="11" max="11" width="13.5546875" style="1" customWidth="1"/>
    <col min="12" max="12" width="13.44140625" style="1" customWidth="1"/>
    <col min="13" max="13" width="14.5546875" style="1" customWidth="1"/>
    <col min="14" max="16384" width="9.109375" style="1"/>
  </cols>
  <sheetData>
    <row r="1" spans="1:13" ht="17.25" thickBot="1" x14ac:dyDescent="0.35"/>
    <row r="2" spans="1:13" ht="18.75" x14ac:dyDescent="0.3">
      <c r="A2" s="147" t="s">
        <v>0</v>
      </c>
      <c r="B2" s="148"/>
      <c r="C2" s="148"/>
      <c r="D2" s="149"/>
    </row>
    <row r="3" spans="1:13" ht="16.5" x14ac:dyDescent="0.3">
      <c r="A3" s="121"/>
      <c r="B3" s="55"/>
      <c r="C3" s="55"/>
      <c r="D3" s="119"/>
    </row>
    <row r="4" spans="1:13" ht="18" x14ac:dyDescent="0.35">
      <c r="A4" s="121"/>
      <c r="B4" s="153" t="s">
        <v>6</v>
      </c>
      <c r="C4" s="154"/>
      <c r="D4" s="122"/>
    </row>
    <row r="5" spans="1:13" ht="16.5" x14ac:dyDescent="0.3">
      <c r="A5" s="121"/>
      <c r="B5" s="49" t="s">
        <v>1</v>
      </c>
      <c r="C5" s="52"/>
      <c r="D5" s="122"/>
    </row>
    <row r="6" spans="1:13" ht="16.5" x14ac:dyDescent="0.3">
      <c r="A6" s="121"/>
      <c r="B6" s="49" t="s">
        <v>2</v>
      </c>
      <c r="C6" s="52"/>
      <c r="D6" s="122"/>
    </row>
    <row r="7" spans="1:13" ht="17.25" thickBot="1" x14ac:dyDescent="0.35">
      <c r="A7" s="121"/>
      <c r="B7" s="49" t="s">
        <v>3</v>
      </c>
      <c r="C7" s="52"/>
      <c r="D7" s="122"/>
    </row>
    <row r="8" spans="1:13" x14ac:dyDescent="0.3">
      <c r="A8" s="121"/>
      <c r="B8" s="49" t="s">
        <v>4</v>
      </c>
      <c r="C8" s="52"/>
      <c r="D8" s="122"/>
      <c r="G8" s="155" t="s">
        <v>113</v>
      </c>
      <c r="H8" s="156"/>
      <c r="I8" s="156"/>
      <c r="J8" s="156"/>
      <c r="K8" s="156"/>
      <c r="L8" s="156"/>
      <c r="M8" s="157"/>
    </row>
    <row r="9" spans="1:13" x14ac:dyDescent="0.3">
      <c r="A9" s="121"/>
      <c r="B9" s="49" t="s">
        <v>62</v>
      </c>
      <c r="C9" s="52"/>
      <c r="D9" s="122"/>
      <c r="G9" s="158"/>
      <c r="H9" s="159"/>
      <c r="I9" s="159"/>
      <c r="J9" s="159"/>
      <c r="K9" s="159"/>
      <c r="L9" s="159"/>
      <c r="M9" s="160"/>
    </row>
    <row r="10" spans="1:13" x14ac:dyDescent="0.3">
      <c r="A10" s="121"/>
      <c r="B10" s="50" t="s">
        <v>5</v>
      </c>
      <c r="C10" s="53"/>
      <c r="D10" s="122"/>
      <c r="G10" s="161" t="s">
        <v>112</v>
      </c>
      <c r="H10" s="162"/>
      <c r="I10" s="162"/>
      <c r="K10" s="162" t="s">
        <v>111</v>
      </c>
      <c r="L10" s="162"/>
      <c r="M10" s="165"/>
    </row>
    <row r="11" spans="1:13" ht="15" thickBot="1" x14ac:dyDescent="0.35">
      <c r="A11" s="121"/>
      <c r="B11" s="51"/>
      <c r="C11" s="55"/>
      <c r="D11" s="122"/>
      <c r="G11" s="163"/>
      <c r="H11" s="164"/>
      <c r="I11" s="164"/>
      <c r="K11" s="164"/>
      <c r="L11" s="164"/>
      <c r="M11" s="166"/>
    </row>
    <row r="12" spans="1:13" ht="18" x14ac:dyDescent="0.35">
      <c r="A12" s="121"/>
      <c r="B12" s="153" t="s">
        <v>7</v>
      </c>
      <c r="C12" s="154"/>
      <c r="D12" s="122"/>
      <c r="G12" s="136" t="s">
        <v>101</v>
      </c>
      <c r="H12" s="137"/>
      <c r="I12" s="138"/>
      <c r="K12" s="136" t="s">
        <v>101</v>
      </c>
      <c r="L12" s="137"/>
      <c r="M12" s="138"/>
    </row>
    <row r="13" spans="1:13" ht="16.5" x14ac:dyDescent="0.3">
      <c r="A13" s="121"/>
      <c r="B13" s="49" t="s">
        <v>95</v>
      </c>
      <c r="C13" s="52"/>
      <c r="D13" s="122"/>
      <c r="G13" s="115" t="s">
        <v>102</v>
      </c>
      <c r="H13" s="116" t="s">
        <v>103</v>
      </c>
      <c r="I13" s="117" t="s">
        <v>104</v>
      </c>
      <c r="K13" s="115" t="s">
        <v>102</v>
      </c>
      <c r="L13" s="116" t="s">
        <v>103</v>
      </c>
      <c r="M13" s="117" t="s">
        <v>104</v>
      </c>
    </row>
    <row r="14" spans="1:13" ht="16.5" x14ac:dyDescent="0.3">
      <c r="A14" s="121"/>
      <c r="B14" s="49" t="s">
        <v>61</v>
      </c>
      <c r="C14" s="54" t="e">
        <f>_xlfn.CONCAT(H30, ":", H32, " min/mi")</f>
        <v>#VALUE!</v>
      </c>
      <c r="D14" s="122"/>
      <c r="G14" s="108"/>
      <c r="H14" s="11"/>
      <c r="I14" s="109"/>
      <c r="K14" s="108"/>
      <c r="L14" s="11"/>
      <c r="M14" s="109"/>
    </row>
    <row r="15" spans="1:13" x14ac:dyDescent="0.3">
      <c r="A15" s="121"/>
      <c r="B15" s="104"/>
      <c r="C15" s="55"/>
      <c r="D15" s="122"/>
      <c r="G15" s="110" t="s">
        <v>105</v>
      </c>
      <c r="H15" s="68" t="s">
        <v>105</v>
      </c>
      <c r="I15" s="111" t="s">
        <v>105</v>
      </c>
      <c r="K15" s="110" t="s">
        <v>105</v>
      </c>
      <c r="L15" s="68" t="s">
        <v>105</v>
      </c>
      <c r="M15" s="111" t="s">
        <v>105</v>
      </c>
    </row>
    <row r="16" spans="1:13" ht="16.2" x14ac:dyDescent="0.35">
      <c r="A16" s="121"/>
      <c r="B16" s="153" t="s">
        <v>8</v>
      </c>
      <c r="C16" s="154"/>
      <c r="D16" s="122"/>
      <c r="G16" s="112" t="str">
        <f>IF(ISBLANK(G14), "", G14*60)</f>
        <v/>
      </c>
      <c r="H16" s="107" t="str">
        <f>IF(ISBLANK(H14),"",H14)</f>
        <v/>
      </c>
      <c r="I16" s="113" t="str">
        <f>IF(ISBLANK(I14), "", I14/60)</f>
        <v/>
      </c>
      <c r="K16" s="112">
        <v>60</v>
      </c>
      <c r="L16" s="107">
        <v>20</v>
      </c>
      <c r="M16" s="113">
        <v>0.5</v>
      </c>
    </row>
    <row r="17" spans="1:13" x14ac:dyDescent="0.3">
      <c r="A17" s="121"/>
      <c r="B17" s="49" t="s">
        <v>9</v>
      </c>
      <c r="C17" s="52"/>
      <c r="D17" s="122"/>
      <c r="G17" s="141" t="s">
        <v>106</v>
      </c>
      <c r="H17" s="142"/>
      <c r="I17" s="143"/>
      <c r="K17" s="141" t="s">
        <v>106</v>
      </c>
      <c r="L17" s="142"/>
      <c r="M17" s="143"/>
    </row>
    <row r="18" spans="1:13" ht="15" thickBot="1" x14ac:dyDescent="0.35">
      <c r="A18" s="121"/>
      <c r="B18" s="49" t="s">
        <v>60</v>
      </c>
      <c r="C18" s="52"/>
      <c r="D18" s="122"/>
      <c r="G18" s="144" t="str">
        <f>IF(SUM(G16:I16)=0, "use me! I like numbers that aren't 0 :)", SUM(G16:I16))</f>
        <v>use me! I like numbers that aren't 0 :)</v>
      </c>
      <c r="H18" s="145"/>
      <c r="I18" s="146"/>
      <c r="K18" s="150">
        <v>80.5</v>
      </c>
      <c r="L18" s="151"/>
      <c r="M18" s="152"/>
    </row>
    <row r="19" spans="1:13" ht="15" thickBot="1" x14ac:dyDescent="0.35">
      <c r="A19" s="121"/>
      <c r="B19" s="49" t="s">
        <v>10</v>
      </c>
      <c r="C19" s="52"/>
      <c r="D19" s="122"/>
      <c r="G19" s="118"/>
      <c r="M19" s="119"/>
    </row>
    <row r="20" spans="1:13" x14ac:dyDescent="0.3">
      <c r="A20" s="121"/>
      <c r="B20" s="49" t="s">
        <v>11</v>
      </c>
      <c r="C20" s="52"/>
      <c r="D20" s="122"/>
      <c r="G20" s="136" t="s">
        <v>107</v>
      </c>
      <c r="H20" s="137"/>
      <c r="I20" s="138"/>
      <c r="K20" s="136" t="s">
        <v>107</v>
      </c>
      <c r="L20" s="137"/>
      <c r="M20" s="138"/>
    </row>
    <row r="21" spans="1:13" x14ac:dyDescent="0.3">
      <c r="A21" s="121"/>
      <c r="B21" s="49" t="s">
        <v>12</v>
      </c>
      <c r="C21" s="52"/>
      <c r="D21" s="122"/>
      <c r="G21" s="139" t="s">
        <v>108</v>
      </c>
      <c r="H21" s="140"/>
      <c r="I21" s="114"/>
      <c r="K21" s="139" t="s">
        <v>108</v>
      </c>
      <c r="L21" s="140"/>
      <c r="M21" s="114"/>
    </row>
    <row r="22" spans="1:13" ht="15" thickBot="1" x14ac:dyDescent="0.35">
      <c r="A22" s="123"/>
      <c r="B22" s="124"/>
      <c r="C22" s="124"/>
      <c r="D22" s="125"/>
      <c r="G22" s="139" t="s">
        <v>109</v>
      </c>
      <c r="H22" s="140"/>
      <c r="I22" s="114"/>
      <c r="K22" s="139" t="s">
        <v>109</v>
      </c>
      <c r="L22" s="140"/>
      <c r="M22" s="114"/>
    </row>
    <row r="23" spans="1:13" x14ac:dyDescent="0.3">
      <c r="G23" s="141" t="s">
        <v>110</v>
      </c>
      <c r="H23" s="142"/>
      <c r="I23" s="143"/>
      <c r="K23" s="141" t="s">
        <v>110</v>
      </c>
      <c r="L23" s="142"/>
      <c r="M23" s="143"/>
    </row>
    <row r="24" spans="1:13" ht="15" thickBot="1" x14ac:dyDescent="0.35">
      <c r="G24" s="144" t="str">
        <f>IF(ISBLANK(I22),"use me!",IF($I$21="Fahrenheit",_xlfn.CONCAT($I$22," °F"),IF($I$21="Celsius",_xlfn.CONCAT($I$22*1.8+32, " °F"),IF(ISBLANK(I21), "select a unit!", _xlfn.CONCAT(($I$22-273.15)*1.8+32," °F")))))</f>
        <v>use me!</v>
      </c>
      <c r="H24" s="145"/>
      <c r="I24" s="146"/>
      <c r="J24" s="120"/>
      <c r="K24" s="144">
        <v>32</v>
      </c>
      <c r="L24" s="145"/>
      <c r="M24" s="146"/>
    </row>
    <row r="25" spans="1:13" x14ac:dyDescent="0.3">
      <c r="F25" s="105"/>
      <c r="G25" s="105"/>
      <c r="H25" s="105"/>
      <c r="I25" s="105"/>
      <c r="J25" s="105"/>
    </row>
    <row r="26" spans="1:13" x14ac:dyDescent="0.3">
      <c r="F26" s="106"/>
      <c r="G26" s="106"/>
      <c r="H26" s="106"/>
      <c r="I26" s="106"/>
      <c r="J26" s="106"/>
      <c r="K26" s="106"/>
      <c r="L26" s="106"/>
      <c r="M26" s="106"/>
    </row>
    <row r="27" spans="1:13" x14ac:dyDescent="0.3">
      <c r="F27" s="106"/>
      <c r="G27" s="106"/>
      <c r="H27" s="106"/>
      <c r="I27" s="106"/>
      <c r="J27" s="106"/>
      <c r="K27" s="106"/>
      <c r="L27" s="106"/>
      <c r="M27" s="106"/>
    </row>
    <row r="28" spans="1:13" x14ac:dyDescent="0.3">
      <c r="E28" s="106"/>
      <c r="F28" s="106"/>
      <c r="G28" s="106" t="s">
        <v>100</v>
      </c>
      <c r="H28" s="106"/>
      <c r="I28" s="106"/>
      <c r="J28" s="106"/>
      <c r="K28" s="106"/>
      <c r="L28" s="106"/>
      <c r="M28" s="106"/>
    </row>
    <row r="29" spans="1:13" x14ac:dyDescent="0.3">
      <c r="E29" s="106"/>
      <c r="F29" s="106"/>
      <c r="G29" s="106" t="s">
        <v>96</v>
      </c>
      <c r="H29" s="106" t="str">
        <f>IF(ISBLANK(C7), "", C13/C7)</f>
        <v/>
      </c>
      <c r="I29" s="106"/>
      <c r="J29" s="106"/>
      <c r="K29" s="106"/>
      <c r="L29" s="106"/>
      <c r="M29" s="106"/>
    </row>
    <row r="30" spans="1:13" x14ac:dyDescent="0.3">
      <c r="E30" s="106"/>
      <c r="F30" s="106"/>
      <c r="G30" s="106" t="s">
        <v>97</v>
      </c>
      <c r="H30" s="106" t="e">
        <f>_xlfn.FLOOR.MATH(H29)</f>
        <v>#VALUE!</v>
      </c>
      <c r="I30" s="106"/>
      <c r="J30" s="106"/>
      <c r="K30" s="106"/>
      <c r="L30" s="106"/>
      <c r="M30" s="106"/>
    </row>
    <row r="31" spans="1:13" x14ac:dyDescent="0.3">
      <c r="E31" s="106"/>
      <c r="F31" s="106"/>
      <c r="G31" s="106" t="s">
        <v>98</v>
      </c>
      <c r="H31" s="106" t="e">
        <f>H29-H30</f>
        <v>#VALUE!</v>
      </c>
      <c r="I31" s="106"/>
      <c r="J31" s="106"/>
      <c r="K31" s="106"/>
      <c r="L31" s="106"/>
      <c r="M31" s="106"/>
    </row>
    <row r="32" spans="1:13" x14ac:dyDescent="0.3">
      <c r="E32" s="106"/>
      <c r="F32" s="106"/>
      <c r="G32" s="106" t="s">
        <v>99</v>
      </c>
      <c r="H32" s="126" t="e">
        <f>ROUND(H31*60,0)</f>
        <v>#VALUE!</v>
      </c>
      <c r="I32" s="106"/>
      <c r="J32" s="106"/>
      <c r="K32" s="106"/>
      <c r="L32" s="106"/>
      <c r="M32" s="106"/>
    </row>
    <row r="33" spans="5:13" x14ac:dyDescent="0.3">
      <c r="E33" s="106"/>
      <c r="F33" s="106"/>
      <c r="G33" s="106"/>
      <c r="H33" s="106"/>
      <c r="I33" s="106"/>
      <c r="J33" s="106"/>
      <c r="K33" s="106"/>
      <c r="L33" s="106"/>
      <c r="M33" s="106"/>
    </row>
    <row r="34" spans="5:13" x14ac:dyDescent="0.3">
      <c r="E34" s="106"/>
      <c r="F34" s="106"/>
      <c r="G34" s="106"/>
      <c r="H34" s="106"/>
      <c r="I34" s="106"/>
      <c r="J34" s="106"/>
      <c r="K34" s="106"/>
      <c r="L34" s="106"/>
      <c r="M34" s="106"/>
    </row>
    <row r="35" spans="5:13" x14ac:dyDescent="0.3">
      <c r="E35" s="106"/>
      <c r="F35" s="106"/>
      <c r="G35" s="106"/>
      <c r="H35" s="106"/>
      <c r="I35" s="106"/>
      <c r="J35" s="106"/>
      <c r="K35" s="106"/>
      <c r="L35" s="106"/>
      <c r="M35" s="106"/>
    </row>
    <row r="36" spans="5:13" x14ac:dyDescent="0.3">
      <c r="E36" s="106"/>
      <c r="F36" s="106"/>
      <c r="G36" s="106"/>
      <c r="H36" s="106"/>
      <c r="I36" s="106"/>
      <c r="J36" s="106"/>
      <c r="K36" s="106"/>
      <c r="L36" s="106"/>
      <c r="M36" s="106"/>
    </row>
    <row r="37" spans="5:13" x14ac:dyDescent="0.3">
      <c r="E37" s="106"/>
      <c r="F37" s="106"/>
      <c r="G37" s="106"/>
      <c r="H37" s="106"/>
      <c r="I37" s="106"/>
      <c r="J37" s="106"/>
      <c r="K37" s="106"/>
      <c r="L37" s="106"/>
      <c r="M37" s="106"/>
    </row>
    <row r="38" spans="5:13" x14ac:dyDescent="0.3">
      <c r="E38" s="106"/>
      <c r="F38" s="106"/>
      <c r="G38" s="106"/>
      <c r="H38" s="106"/>
      <c r="I38" s="106"/>
      <c r="J38" s="106"/>
      <c r="K38" s="106"/>
      <c r="L38" s="106"/>
      <c r="M38" s="106"/>
    </row>
    <row r="39" spans="5:13" x14ac:dyDescent="0.3">
      <c r="F39" s="106"/>
      <c r="G39" s="106"/>
      <c r="H39" s="106"/>
      <c r="I39" s="106"/>
      <c r="J39" s="106"/>
      <c r="K39" s="106"/>
      <c r="L39" s="106"/>
      <c r="M39" s="106"/>
    </row>
    <row r="40" spans="5:13" x14ac:dyDescent="0.3">
      <c r="F40" s="106"/>
      <c r="G40" s="106"/>
      <c r="H40" s="106"/>
      <c r="I40" s="106"/>
      <c r="J40" s="106"/>
      <c r="K40" s="106"/>
      <c r="L40" s="106"/>
      <c r="M40" s="106"/>
    </row>
    <row r="41" spans="5:13" x14ac:dyDescent="0.3">
      <c r="F41" s="106"/>
      <c r="G41" s="106"/>
      <c r="H41" s="106"/>
      <c r="I41" s="106"/>
      <c r="J41" s="106"/>
      <c r="K41" s="106"/>
      <c r="L41" s="106"/>
      <c r="M41" s="106"/>
    </row>
  </sheetData>
  <mergeCells count="23">
    <mergeCell ref="A2:D2"/>
    <mergeCell ref="K12:M12"/>
    <mergeCell ref="K17:M17"/>
    <mergeCell ref="K18:M18"/>
    <mergeCell ref="B4:C4"/>
    <mergeCell ref="B12:C12"/>
    <mergeCell ref="B16:C16"/>
    <mergeCell ref="G8:M9"/>
    <mergeCell ref="G10:I11"/>
    <mergeCell ref="K10:M11"/>
    <mergeCell ref="G12:I12"/>
    <mergeCell ref="G17:I17"/>
    <mergeCell ref="G18:I18"/>
    <mergeCell ref="G20:I20"/>
    <mergeCell ref="G24:I24"/>
    <mergeCell ref="G21:H21"/>
    <mergeCell ref="G22:H22"/>
    <mergeCell ref="G23:I23"/>
    <mergeCell ref="K20:M20"/>
    <mergeCell ref="K21:L21"/>
    <mergeCell ref="K22:L22"/>
    <mergeCell ref="K23:M23"/>
    <mergeCell ref="K24:M24"/>
  </mergeCells>
  <dataValidations count="3">
    <dataValidation type="list" allowBlank="1" showInputMessage="1" showErrorMessage="1" promptTitle="Select Environment Type" prompt="Add more to the data validation list if needed (comma-seperated, found in &quot;Data&quot; &gt; &quot;Data Validation&quot; &gt; &quot;Settings&quot;)." sqref="C10" xr:uid="{91AA0A68-B96A-4337-8ABA-230D0A2E1F52}">
      <formula1>"Road, Trail, Mixed, Track"</formula1>
    </dataValidation>
    <dataValidation type="list" allowBlank="1" showInputMessage="1" showErrorMessage="1" sqref="I21" xr:uid="{06DA389D-DC76-4682-8153-B26F04C24A77}">
      <formula1>"Celsius, Fahrenheit, Kelvin"</formula1>
    </dataValidation>
    <dataValidation type="list" allowBlank="1" showInputMessage="1" showErrorMessage="1" promptTitle="Consider that location" prompt="Check &quot;yes&quot; if you have considered the location and all its peccadiloes (or unique features) in your training plan and goals. " sqref="C19" xr:uid="{8353CE4E-9A22-4C97-B30C-46DA68F2F136}">
      <formula1>"Yes, No"</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D366-FE1E-48A6-8778-98CDC146D77B}">
  <sheetPr codeName="Sheet3"/>
  <dimension ref="A1:M164"/>
  <sheetViews>
    <sheetView workbookViewId="0">
      <selection activeCell="E22" sqref="E22"/>
    </sheetView>
  </sheetViews>
  <sheetFormatPr defaultColWidth="9.109375" defaultRowHeight="14.4" x14ac:dyDescent="0.3"/>
  <cols>
    <col min="1" max="1" width="10.5546875" style="1" customWidth="1"/>
    <col min="2" max="2" width="11.6640625" style="1" customWidth="1"/>
    <col min="3" max="3" width="16.5546875" style="1" bestFit="1" customWidth="1"/>
    <col min="4" max="4" width="17.5546875" style="1" customWidth="1"/>
    <col min="5" max="5" width="15.6640625" style="1" bestFit="1" customWidth="1"/>
    <col min="6" max="6" width="14.6640625" style="1" bestFit="1" customWidth="1"/>
    <col min="7" max="7" width="17.44140625" style="1" customWidth="1"/>
    <col min="8" max="8" width="49.44140625" style="1" customWidth="1"/>
    <col min="9" max="9" width="47.88671875" style="1" customWidth="1"/>
    <col min="10" max="10" width="13.88671875" style="1" bestFit="1" customWidth="1"/>
    <col min="11" max="11" width="18.6640625" style="1" customWidth="1"/>
    <col min="12" max="12" width="19.5546875" style="1" customWidth="1"/>
    <col min="13" max="13" width="16.33203125" style="1" customWidth="1"/>
    <col min="14" max="16384" width="9.109375" style="1"/>
  </cols>
  <sheetData>
    <row r="1" spans="1:13" ht="43.5" customHeight="1" x14ac:dyDescent="0.3">
      <c r="A1" s="170" t="str">
        <f>IF('TRAINING SPECS'!C5="", "TRAINING PLAN", _xlfn.CONCAT("TRAINING PLAN - ", 'TRAINING SPECS'!C5))</f>
        <v>TRAINING PLAN</v>
      </c>
      <c r="B1" s="170"/>
      <c r="C1" s="170"/>
      <c r="D1" s="170"/>
      <c r="E1" s="170"/>
      <c r="F1" s="170"/>
      <c r="G1" s="170"/>
      <c r="H1" s="170"/>
      <c r="I1" s="170"/>
      <c r="J1" s="170"/>
      <c r="K1" s="170"/>
      <c r="L1" s="170"/>
      <c r="M1" s="170"/>
    </row>
    <row r="2" spans="1:13" ht="16.5" x14ac:dyDescent="0.3">
      <c r="A2" s="171" t="s">
        <v>25</v>
      </c>
      <c r="B2" s="171"/>
      <c r="C2" s="171"/>
      <c r="D2" s="11"/>
    </row>
    <row r="3" spans="1:13" ht="16.5" x14ac:dyDescent="0.3">
      <c r="A3" s="171" t="s">
        <v>59</v>
      </c>
      <c r="B3" s="171"/>
      <c r="C3" s="171"/>
      <c r="D3" s="42"/>
    </row>
    <row r="4" spans="1:13" ht="18.75" thickBot="1" x14ac:dyDescent="0.4">
      <c r="A4" s="25" t="s">
        <v>13</v>
      </c>
      <c r="B4" s="25" t="s">
        <v>14</v>
      </c>
      <c r="C4" s="25" t="s">
        <v>27</v>
      </c>
      <c r="D4" s="25" t="s">
        <v>15</v>
      </c>
      <c r="E4" s="25" t="s">
        <v>16</v>
      </c>
      <c r="F4" s="25" t="s">
        <v>17</v>
      </c>
      <c r="G4" s="25" t="s">
        <v>18</v>
      </c>
      <c r="H4" s="25" t="s">
        <v>19</v>
      </c>
      <c r="I4" s="25" t="s">
        <v>20</v>
      </c>
      <c r="J4" s="25" t="s">
        <v>21</v>
      </c>
      <c r="K4" s="25" t="s">
        <v>22</v>
      </c>
      <c r="L4" s="25" t="s">
        <v>23</v>
      </c>
      <c r="M4" s="25" t="s">
        <v>24</v>
      </c>
    </row>
    <row r="5" spans="1:13" x14ac:dyDescent="0.3">
      <c r="A5" s="172">
        <v>1</v>
      </c>
      <c r="B5" s="27">
        <v>1</v>
      </c>
      <c r="C5" s="41" t="str">
        <f>IF($D$3="", "input date in D3", $D$3)</f>
        <v>input date in D3</v>
      </c>
      <c r="D5" s="27"/>
      <c r="E5" s="27"/>
      <c r="F5" s="27"/>
      <c r="G5" s="27"/>
      <c r="H5" s="31"/>
      <c r="I5" s="31"/>
      <c r="J5" s="32" t="b">
        <v>0</v>
      </c>
      <c r="K5" s="27"/>
      <c r="L5" s="27"/>
      <c r="M5" s="45"/>
    </row>
    <row r="6" spans="1:13" x14ac:dyDescent="0.3">
      <c r="A6" s="168"/>
      <c r="B6" s="28">
        <v>2</v>
      </c>
      <c r="C6" s="43" t="str">
        <f>IF(ISBLANK($D$3), "", $D$3+B6-1)</f>
        <v/>
      </c>
      <c r="D6" s="28"/>
      <c r="E6" s="28"/>
      <c r="F6" s="28"/>
      <c r="G6" s="28"/>
      <c r="H6" s="37"/>
      <c r="I6" s="37"/>
      <c r="J6" s="34" t="b">
        <v>0</v>
      </c>
      <c r="K6" s="28"/>
      <c r="L6" s="28"/>
      <c r="M6" s="46"/>
    </row>
    <row r="7" spans="1:13" x14ac:dyDescent="0.3">
      <c r="A7" s="168"/>
      <c r="B7" s="28">
        <v>3</v>
      </c>
      <c r="C7" s="43" t="str">
        <f t="shared" ref="C7:C11" si="0">IF(ISBLANK($D$3), "", $D$3+B7-1)</f>
        <v/>
      </c>
      <c r="D7" s="28"/>
      <c r="E7" s="28"/>
      <c r="F7" s="28"/>
      <c r="G7" s="28"/>
      <c r="H7" s="37"/>
      <c r="I7" s="37"/>
      <c r="J7" s="34" t="b">
        <v>0</v>
      </c>
      <c r="K7" s="28"/>
      <c r="L7" s="28"/>
      <c r="M7" s="46"/>
    </row>
    <row r="8" spans="1:13" x14ac:dyDescent="0.3">
      <c r="A8" s="168"/>
      <c r="B8" s="28">
        <v>4</v>
      </c>
      <c r="C8" s="43" t="str">
        <f t="shared" si="0"/>
        <v/>
      </c>
      <c r="D8" s="28"/>
      <c r="E8" s="28"/>
      <c r="F8" s="28"/>
      <c r="G8" s="28"/>
      <c r="H8" s="37"/>
      <c r="I8" s="37"/>
      <c r="J8" s="34" t="b">
        <v>0</v>
      </c>
      <c r="K8" s="28"/>
      <c r="L8" s="28"/>
      <c r="M8" s="46"/>
    </row>
    <row r="9" spans="1:13" x14ac:dyDescent="0.3">
      <c r="A9" s="168"/>
      <c r="B9" s="28">
        <v>5</v>
      </c>
      <c r="C9" s="43" t="str">
        <f t="shared" si="0"/>
        <v/>
      </c>
      <c r="D9" s="28"/>
      <c r="E9" s="28"/>
      <c r="F9" s="28"/>
      <c r="G9" s="28"/>
      <c r="H9" s="37"/>
      <c r="I9" s="37"/>
      <c r="J9" s="34" t="b">
        <v>0</v>
      </c>
      <c r="K9" s="28"/>
      <c r="L9" s="28"/>
      <c r="M9" s="46"/>
    </row>
    <row r="10" spans="1:13" x14ac:dyDescent="0.3">
      <c r="A10" s="168"/>
      <c r="B10" s="28">
        <v>6</v>
      </c>
      <c r="C10" s="43" t="str">
        <f t="shared" si="0"/>
        <v/>
      </c>
      <c r="D10" s="28"/>
      <c r="E10" s="28"/>
      <c r="F10" s="28"/>
      <c r="G10" s="28"/>
      <c r="H10" s="37"/>
      <c r="I10" s="37"/>
      <c r="J10" s="34" t="b">
        <v>0</v>
      </c>
      <c r="K10" s="28"/>
      <c r="L10" s="28"/>
      <c r="M10" s="46"/>
    </row>
    <row r="11" spans="1:13" x14ac:dyDescent="0.3">
      <c r="A11" s="169"/>
      <c r="B11" s="29">
        <v>7</v>
      </c>
      <c r="C11" s="43" t="str">
        <f t="shared" si="0"/>
        <v/>
      </c>
      <c r="D11" s="29"/>
      <c r="E11" s="29"/>
      <c r="F11" s="29"/>
      <c r="G11" s="29"/>
      <c r="H11" s="38"/>
      <c r="I11" s="38"/>
      <c r="J11" s="34" t="b">
        <v>0</v>
      </c>
      <c r="K11" s="29"/>
      <c r="L11" s="29"/>
      <c r="M11" s="47"/>
    </row>
    <row r="12" spans="1:13" ht="16.5" x14ac:dyDescent="0.3">
      <c r="A12" s="33"/>
      <c r="C12" s="44"/>
      <c r="D12" s="33"/>
      <c r="E12" s="33"/>
      <c r="F12" s="33"/>
      <c r="G12" s="33"/>
      <c r="H12" s="39"/>
      <c r="I12" s="39"/>
      <c r="J12" s="33"/>
      <c r="K12" s="33"/>
      <c r="L12" s="33"/>
    </row>
    <row r="13" spans="1:13" x14ac:dyDescent="0.3">
      <c r="A13" s="167">
        <v>2</v>
      </c>
      <c r="B13" s="30">
        <v>8</v>
      </c>
      <c r="C13" s="43" t="str">
        <f>IF(ISBLANK($D$3), "", $D$3+B13-1)</f>
        <v/>
      </c>
      <c r="D13" s="30"/>
      <c r="E13" s="30"/>
      <c r="F13" s="30"/>
      <c r="G13" s="30"/>
      <c r="H13" s="40"/>
      <c r="I13" s="40"/>
      <c r="J13" s="35" t="b">
        <v>0</v>
      </c>
      <c r="K13" s="30"/>
      <c r="L13" s="30"/>
      <c r="M13" s="48"/>
    </row>
    <row r="14" spans="1:13" x14ac:dyDescent="0.3">
      <c r="A14" s="168"/>
      <c r="B14" s="28">
        <v>9</v>
      </c>
      <c r="C14" s="43" t="str">
        <f t="shared" ref="C14:C19" si="1">IF(ISBLANK($D$3), "", $D$3+B14-1)</f>
        <v/>
      </c>
      <c r="D14" s="28"/>
      <c r="E14" s="28"/>
      <c r="F14" s="28"/>
      <c r="G14" s="28"/>
      <c r="H14" s="37"/>
      <c r="I14" s="37"/>
      <c r="J14" s="34" t="b">
        <v>0</v>
      </c>
      <c r="K14" s="28"/>
      <c r="L14" s="28"/>
      <c r="M14" s="46"/>
    </row>
    <row r="15" spans="1:13" x14ac:dyDescent="0.3">
      <c r="A15" s="168"/>
      <c r="B15" s="28">
        <v>10</v>
      </c>
      <c r="C15" s="43" t="str">
        <f t="shared" si="1"/>
        <v/>
      </c>
      <c r="D15" s="28"/>
      <c r="E15" s="28"/>
      <c r="F15" s="28"/>
      <c r="G15" s="28"/>
      <c r="H15" s="37"/>
      <c r="I15" s="37"/>
      <c r="J15" s="34" t="b">
        <v>0</v>
      </c>
      <c r="K15" s="28"/>
      <c r="L15" s="28"/>
      <c r="M15" s="46"/>
    </row>
    <row r="16" spans="1:13" x14ac:dyDescent="0.3">
      <c r="A16" s="168"/>
      <c r="B16" s="28">
        <v>11</v>
      </c>
      <c r="C16" s="43" t="str">
        <f t="shared" si="1"/>
        <v/>
      </c>
      <c r="D16" s="28"/>
      <c r="E16" s="28"/>
      <c r="F16" s="28"/>
      <c r="G16" s="28"/>
      <c r="H16" s="37"/>
      <c r="I16" s="37"/>
      <c r="J16" s="34" t="b">
        <v>0</v>
      </c>
      <c r="K16" s="28"/>
      <c r="L16" s="28"/>
      <c r="M16" s="46"/>
    </row>
    <row r="17" spans="1:13" x14ac:dyDescent="0.3">
      <c r="A17" s="168"/>
      <c r="B17" s="28">
        <v>12</v>
      </c>
      <c r="C17" s="43" t="str">
        <f t="shared" si="1"/>
        <v/>
      </c>
      <c r="D17" s="28"/>
      <c r="E17" s="28"/>
      <c r="F17" s="28"/>
      <c r="G17" s="28"/>
      <c r="H17" s="37"/>
      <c r="I17" s="37"/>
      <c r="J17" s="34" t="b">
        <v>0</v>
      </c>
      <c r="K17" s="28"/>
      <c r="L17" s="28"/>
      <c r="M17" s="46"/>
    </row>
    <row r="18" spans="1:13" x14ac:dyDescent="0.3">
      <c r="A18" s="168"/>
      <c r="B18" s="28">
        <v>13</v>
      </c>
      <c r="C18" s="43" t="str">
        <f t="shared" si="1"/>
        <v/>
      </c>
      <c r="D18" s="28"/>
      <c r="E18" s="28"/>
      <c r="F18" s="28"/>
      <c r="G18" s="28"/>
      <c r="H18" s="37"/>
      <c r="I18" s="37"/>
      <c r="J18" s="34" t="b">
        <v>0</v>
      </c>
      <c r="K18" s="28"/>
      <c r="L18" s="28"/>
      <c r="M18" s="46"/>
    </row>
    <row r="19" spans="1:13" x14ac:dyDescent="0.3">
      <c r="A19" s="169"/>
      <c r="B19" s="29">
        <v>14</v>
      </c>
      <c r="C19" s="43" t="str">
        <f t="shared" si="1"/>
        <v/>
      </c>
      <c r="D19" s="29"/>
      <c r="E19" s="29"/>
      <c r="F19" s="29"/>
      <c r="G19" s="29"/>
      <c r="H19" s="38"/>
      <c r="I19" s="38"/>
      <c r="J19" s="34" t="b">
        <v>0</v>
      </c>
      <c r="K19" s="29"/>
      <c r="L19" s="29"/>
      <c r="M19" s="47"/>
    </row>
    <row r="20" spans="1:13" x14ac:dyDescent="0.3">
      <c r="B20" s="33"/>
      <c r="C20" s="44"/>
      <c r="D20" s="33"/>
      <c r="E20" s="33"/>
      <c r="F20" s="33"/>
      <c r="G20" s="33"/>
      <c r="H20" s="39"/>
      <c r="I20" s="4"/>
      <c r="J20" s="33"/>
      <c r="L20" s="33"/>
      <c r="M20" s="33"/>
    </row>
    <row r="21" spans="1:13" x14ac:dyDescent="0.3">
      <c r="A21" s="167">
        <v>3</v>
      </c>
      <c r="B21" s="30">
        <v>15</v>
      </c>
      <c r="C21" s="43" t="str">
        <f>IF(ISBLANK($D$3), "", $D$3+B21-1)</f>
        <v/>
      </c>
      <c r="D21" s="30"/>
      <c r="E21" s="30"/>
      <c r="F21" s="30"/>
      <c r="G21" s="30"/>
      <c r="H21" s="40"/>
      <c r="I21" s="40"/>
      <c r="J21" s="35" t="b">
        <v>0</v>
      </c>
      <c r="K21" s="30"/>
      <c r="L21" s="30"/>
      <c r="M21" s="48"/>
    </row>
    <row r="22" spans="1:13" x14ac:dyDescent="0.3">
      <c r="A22" s="168"/>
      <c r="B22" s="28">
        <v>16</v>
      </c>
      <c r="C22" s="43" t="str">
        <f t="shared" ref="C22:C27" si="2">IF(ISBLANK($D$3), "", $D$3+B22-1)</f>
        <v/>
      </c>
      <c r="D22" s="28"/>
      <c r="E22" s="28"/>
      <c r="F22" s="28"/>
      <c r="G22" s="28"/>
      <c r="H22" s="37"/>
      <c r="I22" s="37"/>
      <c r="J22" s="34" t="b">
        <v>0</v>
      </c>
      <c r="K22" s="28"/>
      <c r="L22" s="28"/>
      <c r="M22" s="46"/>
    </row>
    <row r="23" spans="1:13" x14ac:dyDescent="0.3">
      <c r="A23" s="168"/>
      <c r="B23" s="28">
        <v>17</v>
      </c>
      <c r="C23" s="43" t="str">
        <f t="shared" si="2"/>
        <v/>
      </c>
      <c r="D23" s="28"/>
      <c r="E23" s="28"/>
      <c r="F23" s="28"/>
      <c r="G23" s="28"/>
      <c r="H23" s="37"/>
      <c r="I23" s="37"/>
      <c r="J23" s="34" t="b">
        <v>0</v>
      </c>
      <c r="K23" s="28"/>
      <c r="L23" s="28"/>
      <c r="M23" s="46"/>
    </row>
    <row r="24" spans="1:13" x14ac:dyDescent="0.3">
      <c r="A24" s="168"/>
      <c r="B24" s="28">
        <v>18</v>
      </c>
      <c r="C24" s="43" t="str">
        <f t="shared" si="2"/>
        <v/>
      </c>
      <c r="D24" s="28"/>
      <c r="E24" s="28"/>
      <c r="F24" s="28"/>
      <c r="G24" s="28"/>
      <c r="H24" s="37"/>
      <c r="I24" s="37"/>
      <c r="J24" s="34" t="b">
        <v>0</v>
      </c>
      <c r="K24" s="28"/>
      <c r="L24" s="28"/>
      <c r="M24" s="46"/>
    </row>
    <row r="25" spans="1:13" x14ac:dyDescent="0.3">
      <c r="A25" s="168"/>
      <c r="B25" s="28">
        <v>19</v>
      </c>
      <c r="C25" s="43" t="str">
        <f t="shared" si="2"/>
        <v/>
      </c>
      <c r="D25" s="28"/>
      <c r="E25" s="28"/>
      <c r="F25" s="28"/>
      <c r="G25" s="28"/>
      <c r="H25" s="37"/>
      <c r="I25" s="37"/>
      <c r="J25" s="34" t="b">
        <v>0</v>
      </c>
      <c r="K25" s="28"/>
      <c r="L25" s="28"/>
      <c r="M25" s="46"/>
    </row>
    <row r="26" spans="1:13" x14ac:dyDescent="0.3">
      <c r="A26" s="168"/>
      <c r="B26" s="28">
        <v>20</v>
      </c>
      <c r="C26" s="43" t="str">
        <f t="shared" si="2"/>
        <v/>
      </c>
      <c r="D26" s="28"/>
      <c r="E26" s="28"/>
      <c r="F26" s="28"/>
      <c r="G26" s="28"/>
      <c r="H26" s="37"/>
      <c r="I26" s="37"/>
      <c r="J26" s="34" t="b">
        <v>0</v>
      </c>
      <c r="K26" s="28"/>
      <c r="L26" s="28"/>
      <c r="M26" s="46"/>
    </row>
    <row r="27" spans="1:13" x14ac:dyDescent="0.3">
      <c r="A27" s="169"/>
      <c r="B27" s="29">
        <v>21</v>
      </c>
      <c r="C27" s="43" t="str">
        <f t="shared" si="2"/>
        <v/>
      </c>
      <c r="D27" s="29"/>
      <c r="E27" s="29"/>
      <c r="F27" s="29"/>
      <c r="G27" s="29"/>
      <c r="H27" s="38"/>
      <c r="I27" s="38"/>
      <c r="J27" s="36" t="b">
        <v>0</v>
      </c>
      <c r="K27" s="29"/>
      <c r="L27" s="29"/>
      <c r="M27" s="47"/>
    </row>
    <row r="28" spans="1:13" x14ac:dyDescent="0.3">
      <c r="A28" s="33"/>
      <c r="B28" s="33"/>
      <c r="C28" s="44"/>
      <c r="D28" s="33"/>
      <c r="E28" s="33"/>
      <c r="F28" s="33"/>
      <c r="H28" s="39"/>
      <c r="I28" s="39"/>
      <c r="K28" s="33"/>
      <c r="L28" s="33"/>
    </row>
    <row r="29" spans="1:13" x14ac:dyDescent="0.3">
      <c r="A29" s="167">
        <v>4</v>
      </c>
      <c r="B29" s="30">
        <v>22</v>
      </c>
      <c r="C29" s="43" t="str">
        <f>IF(ISBLANK($D$3), "", $D$3+B29-1)</f>
        <v/>
      </c>
      <c r="D29" s="30"/>
      <c r="E29" s="30"/>
      <c r="F29" s="30"/>
      <c r="G29" s="30"/>
      <c r="H29" s="40"/>
      <c r="I29" s="40"/>
      <c r="J29" s="35" t="b">
        <v>0</v>
      </c>
      <c r="K29" s="30"/>
      <c r="L29" s="30"/>
      <c r="M29" s="48"/>
    </row>
    <row r="30" spans="1:13" x14ac:dyDescent="0.3">
      <c r="A30" s="168"/>
      <c r="B30" s="28">
        <v>23</v>
      </c>
      <c r="C30" s="43" t="str">
        <f t="shared" ref="C30:C35" si="3">IF(ISBLANK($D$3), "", $D$3+B30-1)</f>
        <v/>
      </c>
      <c r="D30" s="28"/>
      <c r="E30" s="28"/>
      <c r="F30" s="28"/>
      <c r="G30" s="28"/>
      <c r="H30" s="37"/>
      <c r="I30" s="37"/>
      <c r="J30" s="34" t="b">
        <v>0</v>
      </c>
      <c r="K30" s="28"/>
      <c r="L30" s="28"/>
      <c r="M30" s="46"/>
    </row>
    <row r="31" spans="1:13" x14ac:dyDescent="0.3">
      <c r="A31" s="168"/>
      <c r="B31" s="28">
        <v>24</v>
      </c>
      <c r="C31" s="43" t="str">
        <f t="shared" si="3"/>
        <v/>
      </c>
      <c r="D31" s="28"/>
      <c r="E31" s="28"/>
      <c r="F31" s="28"/>
      <c r="G31" s="28"/>
      <c r="H31" s="37"/>
      <c r="I31" s="37"/>
      <c r="J31" s="34" t="b">
        <v>0</v>
      </c>
      <c r="K31" s="28"/>
      <c r="L31" s="28"/>
      <c r="M31" s="46"/>
    </row>
    <row r="32" spans="1:13" x14ac:dyDescent="0.3">
      <c r="A32" s="168"/>
      <c r="B32" s="28">
        <v>25</v>
      </c>
      <c r="C32" s="43" t="str">
        <f t="shared" si="3"/>
        <v/>
      </c>
      <c r="D32" s="28"/>
      <c r="E32" s="28"/>
      <c r="F32" s="28"/>
      <c r="G32" s="28"/>
      <c r="H32" s="37"/>
      <c r="I32" s="37"/>
      <c r="J32" s="34" t="b">
        <v>0</v>
      </c>
      <c r="K32" s="28"/>
      <c r="L32" s="28"/>
      <c r="M32" s="46"/>
    </row>
    <row r="33" spans="1:13" x14ac:dyDescent="0.3">
      <c r="A33" s="168"/>
      <c r="B33" s="28">
        <v>26</v>
      </c>
      <c r="C33" s="43" t="str">
        <f t="shared" si="3"/>
        <v/>
      </c>
      <c r="D33" s="28"/>
      <c r="E33" s="28"/>
      <c r="F33" s="28"/>
      <c r="G33" s="28"/>
      <c r="H33" s="37"/>
      <c r="I33" s="37"/>
      <c r="J33" s="34" t="b">
        <v>0</v>
      </c>
      <c r="K33" s="28"/>
      <c r="L33" s="28"/>
      <c r="M33" s="46"/>
    </row>
    <row r="34" spans="1:13" x14ac:dyDescent="0.3">
      <c r="A34" s="168"/>
      <c r="B34" s="28">
        <v>27</v>
      </c>
      <c r="C34" s="43" t="str">
        <f t="shared" si="3"/>
        <v/>
      </c>
      <c r="D34" s="28"/>
      <c r="E34" s="28"/>
      <c r="F34" s="28"/>
      <c r="G34" s="28"/>
      <c r="H34" s="37"/>
      <c r="I34" s="37"/>
      <c r="J34" s="34" t="b">
        <v>0</v>
      </c>
      <c r="K34" s="28"/>
      <c r="L34" s="28"/>
      <c r="M34" s="46"/>
    </row>
    <row r="35" spans="1:13" x14ac:dyDescent="0.3">
      <c r="A35" s="169"/>
      <c r="B35" s="29">
        <v>28</v>
      </c>
      <c r="C35" s="43" t="str">
        <f t="shared" si="3"/>
        <v/>
      </c>
      <c r="D35" s="29"/>
      <c r="E35" s="29"/>
      <c r="F35" s="29"/>
      <c r="G35" s="29"/>
      <c r="H35" s="38"/>
      <c r="I35" s="38"/>
      <c r="J35" s="34" t="b">
        <v>0</v>
      </c>
      <c r="K35" s="29"/>
      <c r="L35" s="29"/>
      <c r="M35" s="47"/>
    </row>
    <row r="36" spans="1:13" x14ac:dyDescent="0.3">
      <c r="B36" s="33"/>
      <c r="C36" s="44"/>
      <c r="D36" s="33"/>
      <c r="E36" s="33"/>
      <c r="F36" s="33"/>
      <c r="G36" s="33"/>
      <c r="H36" s="39"/>
      <c r="I36" s="39"/>
      <c r="J36" s="33"/>
      <c r="L36" s="33"/>
      <c r="M36" s="33"/>
    </row>
    <row r="37" spans="1:13" x14ac:dyDescent="0.3">
      <c r="A37" s="167">
        <v>5</v>
      </c>
      <c r="B37" s="30">
        <v>29</v>
      </c>
      <c r="C37" s="43" t="str">
        <f>IF(ISBLANK($D$3), "", $D$3+B37-1)</f>
        <v/>
      </c>
      <c r="D37" s="30"/>
      <c r="E37" s="30"/>
      <c r="F37" s="30"/>
      <c r="G37" s="30"/>
      <c r="H37" s="40"/>
      <c r="I37" s="40"/>
      <c r="J37" s="35" t="b">
        <v>0</v>
      </c>
      <c r="K37" s="30"/>
      <c r="L37" s="30"/>
      <c r="M37" s="48"/>
    </row>
    <row r="38" spans="1:13" x14ac:dyDescent="0.3">
      <c r="A38" s="168"/>
      <c r="B38" s="28">
        <v>30</v>
      </c>
      <c r="C38" s="43" t="str">
        <f t="shared" ref="C38:C43" si="4">IF(ISBLANK($D$3), "", $D$3+B38-1)</f>
        <v/>
      </c>
      <c r="D38" s="28"/>
      <c r="E38" s="28"/>
      <c r="F38" s="28"/>
      <c r="G38" s="28"/>
      <c r="H38" s="37"/>
      <c r="I38" s="37"/>
      <c r="J38" s="34" t="b">
        <v>0</v>
      </c>
      <c r="K38" s="28"/>
      <c r="L38" s="28"/>
      <c r="M38" s="46"/>
    </row>
    <row r="39" spans="1:13" x14ac:dyDescent="0.3">
      <c r="A39" s="168"/>
      <c r="B39" s="28">
        <v>31</v>
      </c>
      <c r="C39" s="43" t="str">
        <f t="shared" si="4"/>
        <v/>
      </c>
      <c r="D39" s="28"/>
      <c r="E39" s="28"/>
      <c r="F39" s="28"/>
      <c r="G39" s="28"/>
      <c r="H39" s="37"/>
      <c r="I39" s="37"/>
      <c r="J39" s="34" t="b">
        <v>0</v>
      </c>
      <c r="K39" s="28"/>
      <c r="L39" s="28"/>
      <c r="M39" s="46"/>
    </row>
    <row r="40" spans="1:13" x14ac:dyDescent="0.3">
      <c r="A40" s="168"/>
      <c r="B40" s="28">
        <v>32</v>
      </c>
      <c r="C40" s="43" t="str">
        <f t="shared" si="4"/>
        <v/>
      </c>
      <c r="D40" s="28"/>
      <c r="E40" s="28"/>
      <c r="F40" s="28"/>
      <c r="G40" s="28"/>
      <c r="H40" s="37"/>
      <c r="I40" s="37"/>
      <c r="J40" s="34" t="b">
        <v>0</v>
      </c>
      <c r="K40" s="28"/>
      <c r="L40" s="28"/>
      <c r="M40" s="46"/>
    </row>
    <row r="41" spans="1:13" x14ac:dyDescent="0.3">
      <c r="A41" s="168"/>
      <c r="B41" s="28">
        <v>33</v>
      </c>
      <c r="C41" s="43" t="str">
        <f t="shared" si="4"/>
        <v/>
      </c>
      <c r="D41" s="28"/>
      <c r="E41" s="28"/>
      <c r="F41" s="28"/>
      <c r="G41" s="28"/>
      <c r="H41" s="37"/>
      <c r="I41" s="37"/>
      <c r="J41" s="34" t="b">
        <v>0</v>
      </c>
      <c r="K41" s="28"/>
      <c r="L41" s="28"/>
      <c r="M41" s="46"/>
    </row>
    <row r="42" spans="1:13" x14ac:dyDescent="0.3">
      <c r="A42" s="168"/>
      <c r="B42" s="28">
        <v>34</v>
      </c>
      <c r="C42" s="43" t="str">
        <f t="shared" si="4"/>
        <v/>
      </c>
      <c r="D42" s="28"/>
      <c r="E42" s="28"/>
      <c r="F42" s="28"/>
      <c r="G42" s="28"/>
      <c r="H42" s="37"/>
      <c r="I42" s="37"/>
      <c r="J42" s="34" t="b">
        <v>0</v>
      </c>
      <c r="K42" s="28"/>
      <c r="L42" s="28"/>
      <c r="M42" s="46"/>
    </row>
    <row r="43" spans="1:13" x14ac:dyDescent="0.3">
      <c r="A43" s="169"/>
      <c r="B43" s="29">
        <v>35</v>
      </c>
      <c r="C43" s="43" t="str">
        <f t="shared" si="4"/>
        <v/>
      </c>
      <c r="D43" s="29"/>
      <c r="E43" s="29"/>
      <c r="F43" s="29"/>
      <c r="G43" s="29"/>
      <c r="H43" s="38"/>
      <c r="I43" s="38"/>
      <c r="J43" s="34" t="b">
        <v>0</v>
      </c>
      <c r="K43" s="29"/>
      <c r="L43" s="29"/>
      <c r="M43" s="47"/>
    </row>
    <row r="44" spans="1:13" x14ac:dyDescent="0.3">
      <c r="B44" s="33"/>
      <c r="C44" s="44"/>
      <c r="E44" s="33"/>
      <c r="F44" s="33"/>
      <c r="G44" s="33"/>
      <c r="H44" s="39"/>
      <c r="I44" s="39"/>
      <c r="J44" s="33"/>
      <c r="K44" s="33"/>
      <c r="L44" s="33"/>
      <c r="M44" s="33"/>
    </row>
    <row r="45" spans="1:13" x14ac:dyDescent="0.3">
      <c r="A45" s="167">
        <v>6</v>
      </c>
      <c r="B45" s="30">
        <v>36</v>
      </c>
      <c r="C45" s="43" t="str">
        <f>IF(ISBLANK($D$3), "", $D$3+B45-1)</f>
        <v/>
      </c>
      <c r="D45" s="30"/>
      <c r="E45" s="30"/>
      <c r="F45" s="30"/>
      <c r="G45" s="30"/>
      <c r="H45" s="40"/>
      <c r="I45" s="40"/>
      <c r="J45" s="35" t="b">
        <v>0</v>
      </c>
      <c r="K45" s="30"/>
      <c r="L45" s="30"/>
      <c r="M45" s="48"/>
    </row>
    <row r="46" spans="1:13" x14ac:dyDescent="0.3">
      <c r="A46" s="168"/>
      <c r="B46" s="28">
        <v>37</v>
      </c>
      <c r="C46" s="43" t="str">
        <f t="shared" ref="C46:C51" si="5">IF(ISBLANK($D$3), "", $D$3+B46-1)</f>
        <v/>
      </c>
      <c r="D46" s="28"/>
      <c r="E46" s="28"/>
      <c r="F46" s="28"/>
      <c r="G46" s="28"/>
      <c r="H46" s="37"/>
      <c r="I46" s="37"/>
      <c r="J46" s="34" t="b">
        <v>0</v>
      </c>
      <c r="K46" s="28"/>
      <c r="L46" s="28"/>
      <c r="M46" s="46"/>
    </row>
    <row r="47" spans="1:13" x14ac:dyDescent="0.3">
      <c r="A47" s="168"/>
      <c r="B47" s="28">
        <v>38</v>
      </c>
      <c r="C47" s="43" t="str">
        <f t="shared" si="5"/>
        <v/>
      </c>
      <c r="D47" s="28"/>
      <c r="E47" s="28"/>
      <c r="F47" s="28"/>
      <c r="G47" s="28"/>
      <c r="H47" s="37"/>
      <c r="I47" s="37"/>
      <c r="J47" s="34" t="b">
        <v>0</v>
      </c>
      <c r="K47" s="28"/>
      <c r="L47" s="28"/>
      <c r="M47" s="46"/>
    </row>
    <row r="48" spans="1:13" x14ac:dyDescent="0.3">
      <c r="A48" s="168"/>
      <c r="B48" s="28">
        <v>39</v>
      </c>
      <c r="C48" s="43" t="str">
        <f t="shared" si="5"/>
        <v/>
      </c>
      <c r="D48" s="28"/>
      <c r="E48" s="28"/>
      <c r="F48" s="28"/>
      <c r="G48" s="28"/>
      <c r="H48" s="37"/>
      <c r="I48" s="37"/>
      <c r="J48" s="34" t="b">
        <v>0</v>
      </c>
      <c r="K48" s="28"/>
      <c r="L48" s="28"/>
      <c r="M48" s="46"/>
    </row>
    <row r="49" spans="1:13" x14ac:dyDescent="0.3">
      <c r="A49" s="168"/>
      <c r="B49" s="28">
        <v>40</v>
      </c>
      <c r="C49" s="43" t="str">
        <f t="shared" si="5"/>
        <v/>
      </c>
      <c r="D49" s="28"/>
      <c r="E49" s="28"/>
      <c r="F49" s="28"/>
      <c r="G49" s="28"/>
      <c r="H49" s="37"/>
      <c r="I49" s="37"/>
      <c r="J49" s="34" t="b">
        <v>0</v>
      </c>
      <c r="K49" s="28"/>
      <c r="L49" s="28"/>
      <c r="M49" s="46"/>
    </row>
    <row r="50" spans="1:13" x14ac:dyDescent="0.3">
      <c r="A50" s="168"/>
      <c r="B50" s="28">
        <v>41</v>
      </c>
      <c r="C50" s="43" t="str">
        <f t="shared" si="5"/>
        <v/>
      </c>
      <c r="D50" s="28"/>
      <c r="E50" s="28"/>
      <c r="F50" s="28"/>
      <c r="G50" s="28"/>
      <c r="H50" s="37"/>
      <c r="I50" s="37"/>
      <c r="J50" s="34" t="b">
        <v>0</v>
      </c>
      <c r="K50" s="28"/>
      <c r="L50" s="28"/>
      <c r="M50" s="46"/>
    </row>
    <row r="51" spans="1:13" x14ac:dyDescent="0.3">
      <c r="A51" s="169"/>
      <c r="B51" s="29">
        <v>42</v>
      </c>
      <c r="C51" s="43" t="str">
        <f t="shared" si="5"/>
        <v/>
      </c>
      <c r="D51" s="29"/>
      <c r="E51" s="29"/>
      <c r="F51" s="29"/>
      <c r="G51" s="29"/>
      <c r="H51" s="38"/>
      <c r="I51" s="38"/>
      <c r="J51" s="36" t="b">
        <v>0</v>
      </c>
      <c r="K51" s="29"/>
      <c r="L51" s="29"/>
      <c r="M51" s="47"/>
    </row>
    <row r="52" spans="1:13" x14ac:dyDescent="0.3">
      <c r="A52" s="33"/>
      <c r="C52" s="44"/>
      <c r="D52" s="33"/>
      <c r="E52" s="33"/>
      <c r="G52" s="33"/>
      <c r="H52" s="4"/>
      <c r="I52" s="39"/>
      <c r="K52" s="33"/>
      <c r="L52" s="33"/>
    </row>
    <row r="53" spans="1:13" x14ac:dyDescent="0.3">
      <c r="A53" s="167">
        <v>7</v>
      </c>
      <c r="B53" s="30">
        <v>43</v>
      </c>
      <c r="C53" s="43" t="str">
        <f>IF(ISBLANK($D$3), "", $D$3+B53-1)</f>
        <v/>
      </c>
      <c r="D53" s="30"/>
      <c r="E53" s="30"/>
      <c r="F53" s="30"/>
      <c r="G53" s="30"/>
      <c r="H53" s="40"/>
      <c r="I53" s="40"/>
      <c r="J53" s="35" t="b">
        <v>0</v>
      </c>
      <c r="K53" s="30"/>
      <c r="L53" s="30"/>
      <c r="M53" s="48"/>
    </row>
    <row r="54" spans="1:13" x14ac:dyDescent="0.3">
      <c r="A54" s="168"/>
      <c r="B54" s="28">
        <v>44</v>
      </c>
      <c r="C54" s="43" t="str">
        <f t="shared" ref="C54:C59" si="6">IF(ISBLANK($D$3), "", $D$3+B54-1)</f>
        <v/>
      </c>
      <c r="D54" s="28"/>
      <c r="E54" s="28"/>
      <c r="F54" s="28"/>
      <c r="G54" s="28"/>
      <c r="H54" s="37"/>
      <c r="I54" s="37"/>
      <c r="J54" s="34" t="b">
        <v>0</v>
      </c>
      <c r="K54" s="28"/>
      <c r="L54" s="28"/>
      <c r="M54" s="46"/>
    </row>
    <row r="55" spans="1:13" x14ac:dyDescent="0.3">
      <c r="A55" s="168"/>
      <c r="B55" s="28">
        <v>45</v>
      </c>
      <c r="C55" s="43" t="str">
        <f t="shared" si="6"/>
        <v/>
      </c>
      <c r="D55" s="28"/>
      <c r="E55" s="28"/>
      <c r="F55" s="28"/>
      <c r="G55" s="28"/>
      <c r="H55" s="37"/>
      <c r="I55" s="37"/>
      <c r="J55" s="34" t="b">
        <v>0</v>
      </c>
      <c r="K55" s="28"/>
      <c r="L55" s="28"/>
      <c r="M55" s="46"/>
    </row>
    <row r="56" spans="1:13" x14ac:dyDescent="0.3">
      <c r="A56" s="168"/>
      <c r="B56" s="28">
        <v>46</v>
      </c>
      <c r="C56" s="43" t="str">
        <f t="shared" si="6"/>
        <v/>
      </c>
      <c r="D56" s="28"/>
      <c r="E56" s="28"/>
      <c r="F56" s="28"/>
      <c r="G56" s="28"/>
      <c r="H56" s="37"/>
      <c r="I56" s="37"/>
      <c r="J56" s="34" t="b">
        <v>0</v>
      </c>
      <c r="K56" s="28"/>
      <c r="L56" s="28"/>
      <c r="M56" s="46"/>
    </row>
    <row r="57" spans="1:13" x14ac:dyDescent="0.3">
      <c r="A57" s="168"/>
      <c r="B57" s="28">
        <v>47</v>
      </c>
      <c r="C57" s="43" t="str">
        <f t="shared" si="6"/>
        <v/>
      </c>
      <c r="D57" s="28"/>
      <c r="E57" s="28"/>
      <c r="F57" s="28"/>
      <c r="G57" s="28"/>
      <c r="H57" s="37"/>
      <c r="I57" s="37"/>
      <c r="J57" s="34" t="b">
        <v>0</v>
      </c>
      <c r="K57" s="28"/>
      <c r="L57" s="28"/>
      <c r="M57" s="46"/>
    </row>
    <row r="58" spans="1:13" x14ac:dyDescent="0.3">
      <c r="A58" s="168"/>
      <c r="B58" s="28">
        <v>48</v>
      </c>
      <c r="C58" s="43" t="str">
        <f t="shared" si="6"/>
        <v/>
      </c>
      <c r="D58" s="28"/>
      <c r="E58" s="28"/>
      <c r="F58" s="28"/>
      <c r="G58" s="28"/>
      <c r="H58" s="37"/>
      <c r="I58" s="37"/>
      <c r="J58" s="34" t="b">
        <v>0</v>
      </c>
      <c r="K58" s="28"/>
      <c r="L58" s="28"/>
      <c r="M58" s="46"/>
    </row>
    <row r="59" spans="1:13" x14ac:dyDescent="0.3">
      <c r="A59" s="169"/>
      <c r="B59" s="29">
        <v>49</v>
      </c>
      <c r="C59" s="43" t="str">
        <f t="shared" si="6"/>
        <v/>
      </c>
      <c r="D59" s="29"/>
      <c r="E59" s="29"/>
      <c r="F59" s="29"/>
      <c r="G59" s="29"/>
      <c r="H59" s="38"/>
      <c r="I59" s="38"/>
      <c r="J59" s="34" t="b">
        <v>0</v>
      </c>
      <c r="K59" s="29"/>
      <c r="L59" s="29"/>
      <c r="M59" s="47"/>
    </row>
    <row r="60" spans="1:13" x14ac:dyDescent="0.3">
      <c r="A60" s="33"/>
      <c r="C60" s="44"/>
      <c r="D60" s="33"/>
      <c r="E60" s="33"/>
      <c r="F60" s="33"/>
      <c r="H60" s="39"/>
      <c r="I60" s="39"/>
      <c r="J60" s="33"/>
      <c r="L60" s="33"/>
      <c r="M60" s="33"/>
    </row>
    <row r="61" spans="1:13" x14ac:dyDescent="0.3">
      <c r="A61" s="167">
        <v>8</v>
      </c>
      <c r="B61" s="30">
        <v>50</v>
      </c>
      <c r="C61" s="43" t="str">
        <f>IF(ISBLANK($D$3), "", $D$3+B61-1)</f>
        <v/>
      </c>
      <c r="D61" s="30"/>
      <c r="E61" s="30"/>
      <c r="F61" s="30"/>
      <c r="G61" s="30"/>
      <c r="H61" s="40"/>
      <c r="I61" s="40"/>
      <c r="J61" s="35" t="b">
        <v>0</v>
      </c>
      <c r="K61" s="30"/>
      <c r="L61" s="30"/>
      <c r="M61" s="48"/>
    </row>
    <row r="62" spans="1:13" x14ac:dyDescent="0.3">
      <c r="A62" s="168"/>
      <c r="B62" s="28">
        <v>51</v>
      </c>
      <c r="C62" s="43" t="str">
        <f t="shared" ref="C62:C67" si="7">IF(ISBLANK($D$3), "", $D$3+B62-1)</f>
        <v/>
      </c>
      <c r="D62" s="28"/>
      <c r="E62" s="28"/>
      <c r="F62" s="28"/>
      <c r="G62" s="28"/>
      <c r="H62" s="37"/>
      <c r="I62" s="37"/>
      <c r="J62" s="34" t="b">
        <v>0</v>
      </c>
      <c r="K62" s="28"/>
      <c r="L62" s="28"/>
      <c r="M62" s="46"/>
    </row>
    <row r="63" spans="1:13" x14ac:dyDescent="0.3">
      <c r="A63" s="168"/>
      <c r="B63" s="28">
        <v>52</v>
      </c>
      <c r="C63" s="43" t="str">
        <f t="shared" si="7"/>
        <v/>
      </c>
      <c r="D63" s="28"/>
      <c r="E63" s="28"/>
      <c r="F63" s="28"/>
      <c r="G63" s="28"/>
      <c r="H63" s="37"/>
      <c r="I63" s="37"/>
      <c r="J63" s="34" t="b">
        <v>0</v>
      </c>
      <c r="K63" s="28"/>
      <c r="L63" s="28"/>
      <c r="M63" s="46"/>
    </row>
    <row r="64" spans="1:13" x14ac:dyDescent="0.3">
      <c r="A64" s="168"/>
      <c r="B64" s="28">
        <v>53</v>
      </c>
      <c r="C64" s="43" t="str">
        <f t="shared" si="7"/>
        <v/>
      </c>
      <c r="D64" s="28"/>
      <c r="E64" s="28"/>
      <c r="F64" s="28"/>
      <c r="G64" s="28"/>
      <c r="H64" s="37"/>
      <c r="I64" s="37"/>
      <c r="J64" s="34" t="b">
        <v>0</v>
      </c>
      <c r="K64" s="28"/>
      <c r="L64" s="28"/>
      <c r="M64" s="46"/>
    </row>
    <row r="65" spans="1:13" x14ac:dyDescent="0.3">
      <c r="A65" s="168"/>
      <c r="B65" s="28">
        <v>54</v>
      </c>
      <c r="C65" s="43" t="str">
        <f t="shared" si="7"/>
        <v/>
      </c>
      <c r="D65" s="28"/>
      <c r="E65" s="28"/>
      <c r="F65" s="28"/>
      <c r="G65" s="28"/>
      <c r="H65" s="37"/>
      <c r="I65" s="37"/>
      <c r="J65" s="34" t="b">
        <v>0</v>
      </c>
      <c r="K65" s="28"/>
      <c r="L65" s="28"/>
      <c r="M65" s="46"/>
    </row>
    <row r="66" spans="1:13" x14ac:dyDescent="0.3">
      <c r="A66" s="168"/>
      <c r="B66" s="28">
        <v>55</v>
      </c>
      <c r="C66" s="43" t="str">
        <f t="shared" si="7"/>
        <v/>
      </c>
      <c r="D66" s="28"/>
      <c r="E66" s="28"/>
      <c r="F66" s="28"/>
      <c r="G66" s="28"/>
      <c r="H66" s="37"/>
      <c r="I66" s="37"/>
      <c r="J66" s="34" t="b">
        <v>0</v>
      </c>
      <c r="K66" s="28"/>
      <c r="L66" s="28"/>
      <c r="M66" s="46"/>
    </row>
    <row r="67" spans="1:13" x14ac:dyDescent="0.3">
      <c r="A67" s="169"/>
      <c r="B67" s="29">
        <v>56</v>
      </c>
      <c r="C67" s="43" t="str">
        <f t="shared" si="7"/>
        <v/>
      </c>
      <c r="D67" s="29"/>
      <c r="E67" s="29"/>
      <c r="F67" s="29"/>
      <c r="G67" s="29"/>
      <c r="H67" s="38"/>
      <c r="I67" s="38"/>
      <c r="J67" s="34" t="b">
        <v>0</v>
      </c>
      <c r="K67" s="29"/>
      <c r="L67" s="29"/>
      <c r="M67" s="47"/>
    </row>
    <row r="68" spans="1:13" x14ac:dyDescent="0.3">
      <c r="A68" s="33"/>
      <c r="C68" s="44"/>
      <c r="D68" s="33"/>
      <c r="E68" s="33"/>
      <c r="G68" s="33"/>
      <c r="H68" s="39"/>
      <c r="I68" s="39"/>
      <c r="J68" s="33"/>
      <c r="K68" s="33"/>
      <c r="L68" s="33"/>
      <c r="M68" s="33"/>
    </row>
    <row r="69" spans="1:13" x14ac:dyDescent="0.3">
      <c r="A69" s="167">
        <v>9</v>
      </c>
      <c r="B69" s="30">
        <v>57</v>
      </c>
      <c r="C69" s="43" t="str">
        <f>IF(ISBLANK($D$3), "", $D$3+B69-1)</f>
        <v/>
      </c>
      <c r="D69" s="30"/>
      <c r="E69" s="30"/>
      <c r="F69" s="30"/>
      <c r="G69" s="30"/>
      <c r="H69" s="40"/>
      <c r="I69" s="40"/>
      <c r="J69" s="35" t="b">
        <v>0</v>
      </c>
      <c r="K69" s="30"/>
      <c r="L69" s="30"/>
      <c r="M69" s="48"/>
    </row>
    <row r="70" spans="1:13" x14ac:dyDescent="0.3">
      <c r="A70" s="168"/>
      <c r="B70" s="28">
        <v>58</v>
      </c>
      <c r="C70" s="43" t="str">
        <f t="shared" ref="C70:C75" si="8">IF(ISBLANK($D$3), "", $D$3+B70-1)</f>
        <v/>
      </c>
      <c r="D70" s="28"/>
      <c r="E70" s="28"/>
      <c r="F70" s="28"/>
      <c r="G70" s="28"/>
      <c r="H70" s="37"/>
      <c r="I70" s="37"/>
      <c r="J70" s="34" t="b">
        <v>0</v>
      </c>
      <c r="K70" s="28"/>
      <c r="L70" s="28"/>
      <c r="M70" s="46"/>
    </row>
    <row r="71" spans="1:13" x14ac:dyDescent="0.3">
      <c r="A71" s="168"/>
      <c r="B71" s="28">
        <v>59</v>
      </c>
      <c r="C71" s="43" t="str">
        <f t="shared" si="8"/>
        <v/>
      </c>
      <c r="D71" s="28"/>
      <c r="E71" s="28"/>
      <c r="F71" s="28"/>
      <c r="G71" s="28"/>
      <c r="H71" s="37"/>
      <c r="I71" s="37"/>
      <c r="J71" s="34" t="b">
        <v>0</v>
      </c>
      <c r="K71" s="28"/>
      <c r="L71" s="28"/>
      <c r="M71" s="46"/>
    </row>
    <row r="72" spans="1:13" x14ac:dyDescent="0.3">
      <c r="A72" s="168"/>
      <c r="B72" s="28">
        <v>60</v>
      </c>
      <c r="C72" s="43" t="str">
        <f t="shared" si="8"/>
        <v/>
      </c>
      <c r="D72" s="28"/>
      <c r="E72" s="28"/>
      <c r="F72" s="28"/>
      <c r="G72" s="28"/>
      <c r="H72" s="37"/>
      <c r="I72" s="37"/>
      <c r="J72" s="34" t="b">
        <v>0</v>
      </c>
      <c r="K72" s="28"/>
      <c r="L72" s="28"/>
      <c r="M72" s="46"/>
    </row>
    <row r="73" spans="1:13" x14ac:dyDescent="0.3">
      <c r="A73" s="168"/>
      <c r="B73" s="28">
        <v>61</v>
      </c>
      <c r="C73" s="43" t="str">
        <f t="shared" si="8"/>
        <v/>
      </c>
      <c r="D73" s="28"/>
      <c r="E73" s="28"/>
      <c r="F73" s="28"/>
      <c r="G73" s="28"/>
      <c r="H73" s="37"/>
      <c r="I73" s="37"/>
      <c r="J73" s="34" t="b">
        <v>0</v>
      </c>
      <c r="K73" s="28"/>
      <c r="L73" s="28"/>
      <c r="M73" s="46"/>
    </row>
    <row r="74" spans="1:13" x14ac:dyDescent="0.3">
      <c r="A74" s="168"/>
      <c r="B74" s="28">
        <v>62</v>
      </c>
      <c r="C74" s="43" t="str">
        <f t="shared" si="8"/>
        <v/>
      </c>
      <c r="D74" s="28"/>
      <c r="E74" s="28"/>
      <c r="F74" s="28"/>
      <c r="G74" s="28"/>
      <c r="H74" s="37"/>
      <c r="I74" s="37"/>
      <c r="J74" s="34" t="b">
        <v>0</v>
      </c>
      <c r="K74" s="28"/>
      <c r="L74" s="28"/>
      <c r="M74" s="46"/>
    </row>
    <row r="75" spans="1:13" x14ac:dyDescent="0.3">
      <c r="A75" s="169"/>
      <c r="B75" s="29">
        <v>63</v>
      </c>
      <c r="C75" s="43" t="str">
        <f t="shared" si="8"/>
        <v/>
      </c>
      <c r="D75" s="29"/>
      <c r="E75" s="29"/>
      <c r="F75" s="29"/>
      <c r="G75" s="29"/>
      <c r="H75" s="38"/>
      <c r="I75" s="38"/>
      <c r="J75" s="34" t="b">
        <v>0</v>
      </c>
      <c r="K75" s="29"/>
      <c r="L75" s="29"/>
      <c r="M75" s="47"/>
    </row>
    <row r="76" spans="1:13" x14ac:dyDescent="0.3">
      <c r="A76" s="33"/>
      <c r="C76" s="44"/>
      <c r="D76" s="33"/>
      <c r="E76" s="33"/>
      <c r="G76" s="33"/>
      <c r="H76" s="39"/>
      <c r="I76" s="4"/>
      <c r="J76" s="33"/>
      <c r="K76" s="33"/>
      <c r="L76" s="33"/>
      <c r="M76" s="33"/>
    </row>
    <row r="77" spans="1:13" x14ac:dyDescent="0.3">
      <c r="A77" s="167">
        <v>10</v>
      </c>
      <c r="B77" s="30">
        <v>64</v>
      </c>
      <c r="C77" s="43" t="str">
        <f>IF(ISBLANK($D$3), "", $D$3+B77-1)</f>
        <v/>
      </c>
      <c r="D77" s="30"/>
      <c r="E77" s="30"/>
      <c r="F77" s="30"/>
      <c r="G77" s="30"/>
      <c r="H77" s="40"/>
      <c r="I77" s="40"/>
      <c r="J77" s="35" t="b">
        <v>0</v>
      </c>
      <c r="K77" s="30"/>
      <c r="L77" s="30"/>
      <c r="M77" s="48"/>
    </row>
    <row r="78" spans="1:13" x14ac:dyDescent="0.3">
      <c r="A78" s="168"/>
      <c r="B78" s="28">
        <v>65</v>
      </c>
      <c r="C78" s="43" t="str">
        <f t="shared" ref="C78:C83" si="9">IF(ISBLANK($D$3), "", $D$3+B78-1)</f>
        <v/>
      </c>
      <c r="D78" s="28"/>
      <c r="E78" s="28"/>
      <c r="F78" s="28"/>
      <c r="G78" s="28"/>
      <c r="H78" s="37"/>
      <c r="I78" s="37"/>
      <c r="J78" s="34" t="b">
        <v>0</v>
      </c>
      <c r="K78" s="28"/>
      <c r="L78" s="28"/>
      <c r="M78" s="46"/>
    </row>
    <row r="79" spans="1:13" x14ac:dyDescent="0.3">
      <c r="A79" s="168"/>
      <c r="B79" s="28">
        <v>66</v>
      </c>
      <c r="C79" s="43" t="str">
        <f t="shared" si="9"/>
        <v/>
      </c>
      <c r="D79" s="28"/>
      <c r="E79" s="28"/>
      <c r="F79" s="28"/>
      <c r="G79" s="28"/>
      <c r="H79" s="37"/>
      <c r="I79" s="37"/>
      <c r="J79" s="34" t="b">
        <v>0</v>
      </c>
      <c r="K79" s="28"/>
      <c r="L79" s="28"/>
      <c r="M79" s="46"/>
    </row>
    <row r="80" spans="1:13" x14ac:dyDescent="0.3">
      <c r="A80" s="168"/>
      <c r="B80" s="28">
        <v>67</v>
      </c>
      <c r="C80" s="43" t="str">
        <f t="shared" si="9"/>
        <v/>
      </c>
      <c r="D80" s="28"/>
      <c r="E80" s="28"/>
      <c r="F80" s="28"/>
      <c r="G80" s="28"/>
      <c r="H80" s="37"/>
      <c r="I80" s="37"/>
      <c r="J80" s="34" t="b">
        <v>0</v>
      </c>
      <c r="K80" s="28"/>
      <c r="L80" s="28"/>
      <c r="M80" s="46"/>
    </row>
    <row r="81" spans="1:13" x14ac:dyDescent="0.3">
      <c r="A81" s="168"/>
      <c r="B81" s="28">
        <v>68</v>
      </c>
      <c r="C81" s="43" t="str">
        <f t="shared" si="9"/>
        <v/>
      </c>
      <c r="D81" s="28"/>
      <c r="E81" s="28"/>
      <c r="F81" s="28"/>
      <c r="G81" s="28"/>
      <c r="H81" s="37"/>
      <c r="I81" s="37"/>
      <c r="J81" s="34" t="b">
        <v>0</v>
      </c>
      <c r="K81" s="28"/>
      <c r="L81" s="28"/>
      <c r="M81" s="46"/>
    </row>
    <row r="82" spans="1:13" x14ac:dyDescent="0.3">
      <c r="A82" s="168"/>
      <c r="B82" s="28">
        <v>69</v>
      </c>
      <c r="C82" s="43" t="str">
        <f t="shared" si="9"/>
        <v/>
      </c>
      <c r="D82" s="28"/>
      <c r="E82" s="28"/>
      <c r="F82" s="28"/>
      <c r="G82" s="28"/>
      <c r="H82" s="37"/>
      <c r="I82" s="37"/>
      <c r="J82" s="34" t="b">
        <v>0</v>
      </c>
      <c r="K82" s="28"/>
      <c r="L82" s="28"/>
      <c r="M82" s="46"/>
    </row>
    <row r="83" spans="1:13" x14ac:dyDescent="0.3">
      <c r="A83" s="169"/>
      <c r="B83" s="29">
        <v>70</v>
      </c>
      <c r="C83" s="43" t="str">
        <f t="shared" si="9"/>
        <v/>
      </c>
      <c r="D83" s="29"/>
      <c r="E83" s="29"/>
      <c r="F83" s="29"/>
      <c r="G83" s="29"/>
      <c r="H83" s="38"/>
      <c r="I83" s="38"/>
      <c r="J83" s="34" t="b">
        <v>0</v>
      </c>
      <c r="K83" s="29"/>
      <c r="L83" s="29"/>
      <c r="M83" s="47"/>
    </row>
    <row r="84" spans="1:13" x14ac:dyDescent="0.3">
      <c r="B84" s="33"/>
      <c r="C84" s="44"/>
      <c r="D84" s="33"/>
      <c r="F84" s="33"/>
      <c r="H84" s="39"/>
      <c r="I84" s="4"/>
      <c r="J84" s="33"/>
      <c r="K84" s="33"/>
      <c r="M84" s="33"/>
    </row>
    <row r="85" spans="1:13" x14ac:dyDescent="0.3">
      <c r="A85" s="167">
        <v>11</v>
      </c>
      <c r="B85" s="30">
        <v>71</v>
      </c>
      <c r="C85" s="43" t="str">
        <f>IF(ISBLANK($D$3), "", $D$3+B85-1)</f>
        <v/>
      </c>
      <c r="D85" s="30"/>
      <c r="E85" s="30"/>
      <c r="F85" s="30"/>
      <c r="G85" s="30"/>
      <c r="H85" s="40"/>
      <c r="I85" s="40"/>
      <c r="J85" s="35" t="b">
        <v>0</v>
      </c>
      <c r="K85" s="30"/>
      <c r="L85" s="30"/>
      <c r="M85" s="48"/>
    </row>
    <row r="86" spans="1:13" x14ac:dyDescent="0.3">
      <c r="A86" s="168"/>
      <c r="B86" s="28">
        <v>72</v>
      </c>
      <c r="C86" s="43" t="str">
        <f t="shared" ref="C86:C91" si="10">IF(ISBLANK($D$3), "", $D$3+B86-1)</f>
        <v/>
      </c>
      <c r="D86" s="28"/>
      <c r="E86" s="28"/>
      <c r="F86" s="28"/>
      <c r="G86" s="28"/>
      <c r="H86" s="37"/>
      <c r="I86" s="37"/>
      <c r="J86" s="34" t="b">
        <v>0</v>
      </c>
      <c r="K86" s="28"/>
      <c r="L86" s="28"/>
      <c r="M86" s="46"/>
    </row>
    <row r="87" spans="1:13" x14ac:dyDescent="0.3">
      <c r="A87" s="168"/>
      <c r="B87" s="28">
        <v>73</v>
      </c>
      <c r="C87" s="43" t="str">
        <f t="shared" si="10"/>
        <v/>
      </c>
      <c r="D87" s="28"/>
      <c r="E87" s="28"/>
      <c r="F87" s="28"/>
      <c r="G87" s="28"/>
      <c r="H87" s="37"/>
      <c r="I87" s="37"/>
      <c r="J87" s="34" t="b">
        <v>0</v>
      </c>
      <c r="K87" s="28"/>
      <c r="L87" s="28"/>
      <c r="M87" s="46"/>
    </row>
    <row r="88" spans="1:13" x14ac:dyDescent="0.3">
      <c r="A88" s="168"/>
      <c r="B88" s="28">
        <v>74</v>
      </c>
      <c r="C88" s="43" t="str">
        <f t="shared" si="10"/>
        <v/>
      </c>
      <c r="D88" s="28"/>
      <c r="E88" s="28"/>
      <c r="F88" s="28"/>
      <c r="G88" s="28"/>
      <c r="H88" s="37"/>
      <c r="I88" s="37"/>
      <c r="J88" s="34" t="b">
        <v>0</v>
      </c>
      <c r="K88" s="28"/>
      <c r="L88" s="28"/>
      <c r="M88" s="46"/>
    </row>
    <row r="89" spans="1:13" x14ac:dyDescent="0.3">
      <c r="A89" s="168"/>
      <c r="B89" s="28">
        <v>75</v>
      </c>
      <c r="C89" s="43" t="str">
        <f t="shared" si="10"/>
        <v/>
      </c>
      <c r="D89" s="28"/>
      <c r="E89" s="28"/>
      <c r="F89" s="28"/>
      <c r="G89" s="28"/>
      <c r="H89" s="37"/>
      <c r="I89" s="37"/>
      <c r="J89" s="34" t="b">
        <v>0</v>
      </c>
      <c r="K89" s="28"/>
      <c r="L89" s="28"/>
      <c r="M89" s="46"/>
    </row>
    <row r="90" spans="1:13" x14ac:dyDescent="0.3">
      <c r="A90" s="168"/>
      <c r="B90" s="28">
        <v>76</v>
      </c>
      <c r="C90" s="43" t="str">
        <f t="shared" si="10"/>
        <v/>
      </c>
      <c r="D90" s="28"/>
      <c r="E90" s="28"/>
      <c r="F90" s="28"/>
      <c r="G90" s="28"/>
      <c r="H90" s="37"/>
      <c r="I90" s="37"/>
      <c r="J90" s="34" t="b">
        <v>0</v>
      </c>
      <c r="K90" s="28"/>
      <c r="L90" s="28"/>
      <c r="M90" s="46"/>
    </row>
    <row r="91" spans="1:13" x14ac:dyDescent="0.3">
      <c r="A91" s="169"/>
      <c r="B91" s="29">
        <v>77</v>
      </c>
      <c r="C91" s="43" t="str">
        <f t="shared" si="10"/>
        <v/>
      </c>
      <c r="D91" s="29"/>
      <c r="E91" s="29"/>
      <c r="F91" s="29"/>
      <c r="G91" s="29"/>
      <c r="H91" s="38"/>
      <c r="I91" s="38"/>
      <c r="J91" s="36" t="b">
        <v>0</v>
      </c>
      <c r="K91" s="29"/>
      <c r="L91" s="29"/>
      <c r="M91" s="47"/>
    </row>
    <row r="92" spans="1:13" x14ac:dyDescent="0.3">
      <c r="B92" s="33"/>
      <c r="C92" s="44"/>
      <c r="D92" s="33"/>
      <c r="E92" s="33"/>
      <c r="F92" s="33"/>
      <c r="H92" s="39"/>
      <c r="I92" s="39"/>
      <c r="K92" s="33"/>
      <c r="L92" s="33"/>
      <c r="M92" s="33"/>
    </row>
    <row r="93" spans="1:13" x14ac:dyDescent="0.3">
      <c r="A93" s="167">
        <v>12</v>
      </c>
      <c r="B93" s="30">
        <v>78</v>
      </c>
      <c r="C93" s="43" t="str">
        <f>IF(ISBLANK($D$3), "", $D$3+B93-1)</f>
        <v/>
      </c>
      <c r="D93" s="30"/>
      <c r="E93" s="30"/>
      <c r="F93" s="30"/>
      <c r="G93" s="30"/>
      <c r="H93" s="40"/>
      <c r="I93" s="40"/>
      <c r="J93" s="35" t="b">
        <v>0</v>
      </c>
      <c r="K93" s="30"/>
      <c r="L93" s="30"/>
      <c r="M93" s="48"/>
    </row>
    <row r="94" spans="1:13" x14ac:dyDescent="0.3">
      <c r="A94" s="168"/>
      <c r="B94" s="28">
        <v>79</v>
      </c>
      <c r="C94" s="43" t="str">
        <f t="shared" ref="C94:C99" si="11">IF(ISBLANK($D$3), "", $D$3+B94-1)</f>
        <v/>
      </c>
      <c r="D94" s="28"/>
      <c r="E94" s="28"/>
      <c r="F94" s="28"/>
      <c r="G94" s="28"/>
      <c r="H94" s="37"/>
      <c r="I94" s="37"/>
      <c r="J94" s="34" t="b">
        <v>0</v>
      </c>
      <c r="K94" s="28"/>
      <c r="L94" s="28"/>
      <c r="M94" s="46"/>
    </row>
    <row r="95" spans="1:13" x14ac:dyDescent="0.3">
      <c r="A95" s="168"/>
      <c r="B95" s="28">
        <v>80</v>
      </c>
      <c r="C95" s="43" t="str">
        <f t="shared" si="11"/>
        <v/>
      </c>
      <c r="D95" s="28"/>
      <c r="E95" s="28"/>
      <c r="F95" s="28"/>
      <c r="G95" s="28"/>
      <c r="H95" s="37"/>
      <c r="I95" s="37"/>
      <c r="J95" s="34" t="b">
        <v>0</v>
      </c>
      <c r="K95" s="28"/>
      <c r="L95" s="28"/>
      <c r="M95" s="46"/>
    </row>
    <row r="96" spans="1:13" x14ac:dyDescent="0.3">
      <c r="A96" s="168"/>
      <c r="B96" s="28">
        <v>81</v>
      </c>
      <c r="C96" s="43" t="str">
        <f t="shared" si="11"/>
        <v/>
      </c>
      <c r="D96" s="28"/>
      <c r="E96" s="28"/>
      <c r="F96" s="28"/>
      <c r="G96" s="28"/>
      <c r="H96" s="37"/>
      <c r="I96" s="37"/>
      <c r="J96" s="34" t="b">
        <v>0</v>
      </c>
      <c r="K96" s="28"/>
      <c r="L96" s="28"/>
      <c r="M96" s="46"/>
    </row>
    <row r="97" spans="1:13" x14ac:dyDescent="0.3">
      <c r="A97" s="168"/>
      <c r="B97" s="28">
        <v>82</v>
      </c>
      <c r="C97" s="43" t="str">
        <f t="shared" si="11"/>
        <v/>
      </c>
      <c r="D97" s="28"/>
      <c r="E97" s="28"/>
      <c r="F97" s="28"/>
      <c r="G97" s="28"/>
      <c r="H97" s="37"/>
      <c r="I97" s="37"/>
      <c r="J97" s="34" t="b">
        <v>0</v>
      </c>
      <c r="K97" s="28"/>
      <c r="L97" s="28"/>
      <c r="M97" s="46"/>
    </row>
    <row r="98" spans="1:13" x14ac:dyDescent="0.3">
      <c r="A98" s="168"/>
      <c r="B98" s="28">
        <v>83</v>
      </c>
      <c r="C98" s="43" t="str">
        <f t="shared" si="11"/>
        <v/>
      </c>
      <c r="D98" s="28"/>
      <c r="E98" s="28"/>
      <c r="F98" s="28"/>
      <c r="G98" s="28"/>
      <c r="H98" s="37"/>
      <c r="I98" s="37"/>
      <c r="J98" s="34" t="b">
        <v>0</v>
      </c>
      <c r="K98" s="28"/>
      <c r="L98" s="28"/>
      <c r="M98" s="46"/>
    </row>
    <row r="99" spans="1:13" x14ac:dyDescent="0.3">
      <c r="A99" s="169"/>
      <c r="B99" s="29">
        <v>84</v>
      </c>
      <c r="C99" s="43" t="str">
        <f t="shared" si="11"/>
        <v/>
      </c>
      <c r="D99" s="29"/>
      <c r="E99" s="29"/>
      <c r="F99" s="29"/>
      <c r="G99" s="29"/>
      <c r="H99" s="38"/>
      <c r="I99" s="38"/>
      <c r="J99" s="36" t="b">
        <v>0</v>
      </c>
      <c r="K99" s="29"/>
      <c r="L99" s="29"/>
      <c r="M99" s="47"/>
    </row>
    <row r="100" spans="1:13" x14ac:dyDescent="0.3">
      <c r="A100" s="33"/>
      <c r="C100" s="44"/>
      <c r="D100" s="33"/>
      <c r="E100" s="33"/>
      <c r="F100" s="33"/>
      <c r="G100" s="33"/>
      <c r="H100" s="39"/>
      <c r="I100" s="39"/>
      <c r="K100" s="33"/>
      <c r="L100" s="33"/>
      <c r="M100" s="33"/>
    </row>
    <row r="101" spans="1:13" x14ac:dyDescent="0.3">
      <c r="A101" s="167">
        <v>13</v>
      </c>
      <c r="B101" s="30">
        <v>85</v>
      </c>
      <c r="C101" s="43" t="str">
        <f>IF(ISBLANK($D$3), "", $D$3+B101-1)</f>
        <v/>
      </c>
      <c r="D101" s="30"/>
      <c r="E101" s="30"/>
      <c r="F101" s="30"/>
      <c r="G101" s="30"/>
      <c r="H101" s="40"/>
      <c r="I101" s="40"/>
      <c r="J101" s="35" t="b">
        <v>0</v>
      </c>
      <c r="K101" s="30"/>
      <c r="L101" s="30"/>
      <c r="M101" s="48"/>
    </row>
    <row r="102" spans="1:13" x14ac:dyDescent="0.3">
      <c r="A102" s="168"/>
      <c r="B102" s="28">
        <v>86</v>
      </c>
      <c r="C102" s="43" t="str">
        <f t="shared" ref="C102:C107" si="12">IF(ISBLANK($D$3), "", $D$3+B102-1)</f>
        <v/>
      </c>
      <c r="D102" s="28"/>
      <c r="E102" s="28"/>
      <c r="F102" s="28"/>
      <c r="G102" s="28"/>
      <c r="H102" s="37"/>
      <c r="I102" s="37"/>
      <c r="J102" s="34" t="b">
        <v>0</v>
      </c>
      <c r="K102" s="28"/>
      <c r="L102" s="28"/>
      <c r="M102" s="46"/>
    </row>
    <row r="103" spans="1:13" x14ac:dyDescent="0.3">
      <c r="A103" s="168"/>
      <c r="B103" s="28">
        <v>87</v>
      </c>
      <c r="C103" s="43" t="str">
        <f t="shared" si="12"/>
        <v/>
      </c>
      <c r="D103" s="28"/>
      <c r="E103" s="28"/>
      <c r="F103" s="28"/>
      <c r="G103" s="28"/>
      <c r="H103" s="37"/>
      <c r="I103" s="37"/>
      <c r="J103" s="34" t="b">
        <v>0</v>
      </c>
      <c r="K103" s="28"/>
      <c r="L103" s="28"/>
      <c r="M103" s="46"/>
    </row>
    <row r="104" spans="1:13" x14ac:dyDescent="0.3">
      <c r="A104" s="168"/>
      <c r="B104" s="28">
        <v>88</v>
      </c>
      <c r="C104" s="43" t="str">
        <f t="shared" si="12"/>
        <v/>
      </c>
      <c r="D104" s="28"/>
      <c r="E104" s="28"/>
      <c r="F104" s="28"/>
      <c r="G104" s="28"/>
      <c r="H104" s="37"/>
      <c r="I104" s="37"/>
      <c r="J104" s="34" t="b">
        <v>0</v>
      </c>
      <c r="K104" s="28"/>
      <c r="L104" s="28"/>
      <c r="M104" s="46"/>
    </row>
    <row r="105" spans="1:13" x14ac:dyDescent="0.3">
      <c r="A105" s="168"/>
      <c r="B105" s="28">
        <v>89</v>
      </c>
      <c r="C105" s="43" t="str">
        <f t="shared" si="12"/>
        <v/>
      </c>
      <c r="D105" s="28"/>
      <c r="E105" s="28"/>
      <c r="F105" s="28"/>
      <c r="G105" s="28"/>
      <c r="H105" s="37"/>
      <c r="I105" s="37"/>
      <c r="J105" s="34" t="b">
        <v>0</v>
      </c>
      <c r="K105" s="28"/>
      <c r="L105" s="28"/>
      <c r="M105" s="46"/>
    </row>
    <row r="106" spans="1:13" x14ac:dyDescent="0.3">
      <c r="A106" s="168"/>
      <c r="B106" s="28">
        <v>90</v>
      </c>
      <c r="C106" s="43" t="str">
        <f t="shared" si="12"/>
        <v/>
      </c>
      <c r="D106" s="28"/>
      <c r="E106" s="28"/>
      <c r="F106" s="28"/>
      <c r="G106" s="28"/>
      <c r="H106" s="37"/>
      <c r="I106" s="37"/>
      <c r="J106" s="34" t="b">
        <v>0</v>
      </c>
      <c r="K106" s="28"/>
      <c r="L106" s="28"/>
      <c r="M106" s="46"/>
    </row>
    <row r="107" spans="1:13" x14ac:dyDescent="0.3">
      <c r="A107" s="169"/>
      <c r="B107" s="29">
        <v>91</v>
      </c>
      <c r="C107" s="43" t="str">
        <f t="shared" si="12"/>
        <v/>
      </c>
      <c r="D107" s="29"/>
      <c r="E107" s="29"/>
      <c r="F107" s="29"/>
      <c r="G107" s="29"/>
      <c r="H107" s="38"/>
      <c r="I107" s="38"/>
      <c r="J107" s="34" t="b">
        <v>0</v>
      </c>
      <c r="K107" s="29"/>
      <c r="L107" s="29"/>
      <c r="M107" s="47"/>
    </row>
    <row r="108" spans="1:13" x14ac:dyDescent="0.3">
      <c r="A108" s="33"/>
      <c r="C108" s="44"/>
      <c r="D108" s="33"/>
      <c r="E108" s="33"/>
      <c r="F108" s="33"/>
      <c r="H108" s="39"/>
      <c r="I108" s="39"/>
      <c r="J108" s="33"/>
      <c r="K108" s="33"/>
      <c r="M108" s="33"/>
    </row>
    <row r="109" spans="1:13" x14ac:dyDescent="0.3">
      <c r="A109" s="167">
        <v>14</v>
      </c>
      <c r="B109" s="30">
        <v>92</v>
      </c>
      <c r="C109" s="43" t="str">
        <f>IF(ISBLANK($D$3), "", $D$3+B109-1)</f>
        <v/>
      </c>
      <c r="D109" s="30"/>
      <c r="E109" s="30"/>
      <c r="F109" s="30"/>
      <c r="G109" s="30"/>
      <c r="H109" s="40"/>
      <c r="I109" s="40"/>
      <c r="J109" s="35" t="b">
        <v>0</v>
      </c>
      <c r="K109" s="30"/>
      <c r="L109" s="30"/>
      <c r="M109" s="48"/>
    </row>
    <row r="110" spans="1:13" x14ac:dyDescent="0.3">
      <c r="A110" s="168"/>
      <c r="B110" s="28">
        <v>93</v>
      </c>
      <c r="C110" s="43" t="str">
        <f t="shared" ref="C110:C115" si="13">IF(ISBLANK($D$3), "", $D$3+B110-1)</f>
        <v/>
      </c>
      <c r="D110" s="28"/>
      <c r="E110" s="28"/>
      <c r="F110" s="28"/>
      <c r="G110" s="28"/>
      <c r="H110" s="37"/>
      <c r="I110" s="37"/>
      <c r="J110" s="34" t="b">
        <v>0</v>
      </c>
      <c r="K110" s="28"/>
      <c r="L110" s="28"/>
      <c r="M110" s="46"/>
    </row>
    <row r="111" spans="1:13" x14ac:dyDescent="0.3">
      <c r="A111" s="168"/>
      <c r="B111" s="28">
        <v>94</v>
      </c>
      <c r="C111" s="43" t="str">
        <f t="shared" si="13"/>
        <v/>
      </c>
      <c r="D111" s="28"/>
      <c r="E111" s="28"/>
      <c r="F111" s="28"/>
      <c r="G111" s="28"/>
      <c r="H111" s="37"/>
      <c r="I111" s="37"/>
      <c r="J111" s="34" t="b">
        <v>0</v>
      </c>
      <c r="K111" s="28"/>
      <c r="L111" s="28"/>
      <c r="M111" s="46"/>
    </row>
    <row r="112" spans="1:13" x14ac:dyDescent="0.3">
      <c r="A112" s="168"/>
      <c r="B112" s="28">
        <v>95</v>
      </c>
      <c r="C112" s="43" t="str">
        <f t="shared" si="13"/>
        <v/>
      </c>
      <c r="D112" s="28"/>
      <c r="E112" s="28"/>
      <c r="F112" s="28"/>
      <c r="G112" s="28"/>
      <c r="H112" s="37"/>
      <c r="I112" s="37"/>
      <c r="J112" s="34" t="b">
        <v>0</v>
      </c>
      <c r="K112" s="28"/>
      <c r="L112" s="28"/>
      <c r="M112" s="46"/>
    </row>
    <row r="113" spans="1:13" x14ac:dyDescent="0.3">
      <c r="A113" s="168"/>
      <c r="B113" s="28">
        <v>96</v>
      </c>
      <c r="C113" s="43" t="str">
        <f t="shared" si="13"/>
        <v/>
      </c>
      <c r="D113" s="28"/>
      <c r="E113" s="28"/>
      <c r="F113" s="28"/>
      <c r="G113" s="28"/>
      <c r="H113" s="37"/>
      <c r="I113" s="37"/>
      <c r="J113" s="34" t="b">
        <v>0</v>
      </c>
      <c r="K113" s="28"/>
      <c r="L113" s="28"/>
      <c r="M113" s="46"/>
    </row>
    <row r="114" spans="1:13" x14ac:dyDescent="0.3">
      <c r="A114" s="168"/>
      <c r="B114" s="28">
        <v>97</v>
      </c>
      <c r="C114" s="43" t="str">
        <f t="shared" si="13"/>
        <v/>
      </c>
      <c r="D114" s="28"/>
      <c r="E114" s="28"/>
      <c r="F114" s="28"/>
      <c r="G114" s="28"/>
      <c r="H114" s="37"/>
      <c r="I114" s="37"/>
      <c r="J114" s="34" t="b">
        <v>0</v>
      </c>
      <c r="K114" s="28"/>
      <c r="L114" s="28"/>
      <c r="M114" s="46"/>
    </row>
    <row r="115" spans="1:13" x14ac:dyDescent="0.3">
      <c r="A115" s="169"/>
      <c r="B115" s="29">
        <v>98</v>
      </c>
      <c r="C115" s="43" t="str">
        <f t="shared" si="13"/>
        <v/>
      </c>
      <c r="D115" s="29"/>
      <c r="E115" s="29"/>
      <c r="F115" s="29"/>
      <c r="G115" s="29"/>
      <c r="H115" s="38"/>
      <c r="I115" s="38"/>
      <c r="J115" s="36" t="b">
        <v>0</v>
      </c>
      <c r="K115" s="29"/>
      <c r="L115" s="29"/>
      <c r="M115" s="47"/>
    </row>
    <row r="116" spans="1:13" x14ac:dyDescent="0.3">
      <c r="A116" s="33"/>
      <c r="B116" s="33"/>
      <c r="C116" s="44"/>
      <c r="D116" s="33"/>
      <c r="F116" s="33"/>
      <c r="G116" s="33"/>
      <c r="H116" s="39"/>
      <c r="I116" s="39"/>
      <c r="K116" s="33"/>
      <c r="L116" s="33"/>
      <c r="M116" s="33"/>
    </row>
    <row r="117" spans="1:13" x14ac:dyDescent="0.3">
      <c r="A117" s="167">
        <v>15</v>
      </c>
      <c r="B117" s="30">
        <v>99</v>
      </c>
      <c r="C117" s="43" t="str">
        <f>IF(ISBLANK($D$3), "", $D$3+B117-1)</f>
        <v/>
      </c>
      <c r="D117" s="30"/>
      <c r="E117" s="30"/>
      <c r="F117" s="30"/>
      <c r="G117" s="30"/>
      <c r="H117" s="40"/>
      <c r="I117" s="40"/>
      <c r="J117" s="35" t="b">
        <v>0</v>
      </c>
      <c r="K117" s="30"/>
      <c r="L117" s="30"/>
      <c r="M117" s="48"/>
    </row>
    <row r="118" spans="1:13" x14ac:dyDescent="0.3">
      <c r="A118" s="168"/>
      <c r="B118" s="28">
        <v>100</v>
      </c>
      <c r="C118" s="43" t="str">
        <f t="shared" ref="C118:C123" si="14">IF(ISBLANK($D$3), "", $D$3+B118-1)</f>
        <v/>
      </c>
      <c r="D118" s="28"/>
      <c r="E118" s="28"/>
      <c r="F118" s="28"/>
      <c r="G118" s="28"/>
      <c r="H118" s="37"/>
      <c r="I118" s="37"/>
      <c r="J118" s="34" t="b">
        <v>0</v>
      </c>
      <c r="K118" s="28"/>
      <c r="L118" s="28"/>
      <c r="M118" s="46"/>
    </row>
    <row r="119" spans="1:13" x14ac:dyDescent="0.3">
      <c r="A119" s="168"/>
      <c r="B119" s="28">
        <v>101</v>
      </c>
      <c r="C119" s="43" t="str">
        <f t="shared" si="14"/>
        <v/>
      </c>
      <c r="D119" s="28"/>
      <c r="E119" s="28"/>
      <c r="F119" s="28"/>
      <c r="G119" s="28"/>
      <c r="H119" s="37"/>
      <c r="I119" s="37"/>
      <c r="J119" s="34" t="b">
        <v>0</v>
      </c>
      <c r="K119" s="28"/>
      <c r="L119" s="28"/>
      <c r="M119" s="46"/>
    </row>
    <row r="120" spans="1:13" x14ac:dyDescent="0.3">
      <c r="A120" s="168"/>
      <c r="B120" s="28">
        <v>102</v>
      </c>
      <c r="C120" s="43" t="str">
        <f t="shared" si="14"/>
        <v/>
      </c>
      <c r="D120" s="28"/>
      <c r="E120" s="28"/>
      <c r="F120" s="28"/>
      <c r="G120" s="28"/>
      <c r="H120" s="37"/>
      <c r="I120" s="37"/>
      <c r="J120" s="34" t="b">
        <v>0</v>
      </c>
      <c r="K120" s="28"/>
      <c r="L120" s="28"/>
      <c r="M120" s="46"/>
    </row>
    <row r="121" spans="1:13" x14ac:dyDescent="0.3">
      <c r="A121" s="168"/>
      <c r="B121" s="28">
        <v>103</v>
      </c>
      <c r="C121" s="43" t="str">
        <f t="shared" si="14"/>
        <v/>
      </c>
      <c r="D121" s="28"/>
      <c r="E121" s="28"/>
      <c r="F121" s="28"/>
      <c r="G121" s="28"/>
      <c r="H121" s="37"/>
      <c r="I121" s="37"/>
      <c r="J121" s="34" t="b">
        <v>0</v>
      </c>
      <c r="K121" s="28"/>
      <c r="L121" s="28"/>
      <c r="M121" s="46"/>
    </row>
    <row r="122" spans="1:13" x14ac:dyDescent="0.3">
      <c r="A122" s="168"/>
      <c r="B122" s="28">
        <v>104</v>
      </c>
      <c r="C122" s="43" t="str">
        <f t="shared" si="14"/>
        <v/>
      </c>
      <c r="D122" s="28"/>
      <c r="E122" s="28"/>
      <c r="F122" s="28"/>
      <c r="G122" s="28"/>
      <c r="H122" s="37"/>
      <c r="I122" s="37"/>
      <c r="J122" s="34" t="b">
        <v>0</v>
      </c>
      <c r="K122" s="28"/>
      <c r="L122" s="28"/>
      <c r="M122" s="46"/>
    </row>
    <row r="123" spans="1:13" x14ac:dyDescent="0.3">
      <c r="A123" s="169"/>
      <c r="B123" s="29">
        <v>105</v>
      </c>
      <c r="C123" s="43" t="str">
        <f t="shared" si="14"/>
        <v/>
      </c>
      <c r="D123" s="29"/>
      <c r="E123" s="29"/>
      <c r="F123" s="29"/>
      <c r="G123" s="29"/>
      <c r="H123" s="38"/>
      <c r="I123" s="38"/>
      <c r="J123" s="34" t="b">
        <v>0</v>
      </c>
      <c r="K123" s="29"/>
      <c r="L123" s="29"/>
      <c r="M123" s="47"/>
    </row>
    <row r="124" spans="1:13" x14ac:dyDescent="0.3">
      <c r="A124" s="33"/>
      <c r="B124" s="33"/>
      <c r="C124" s="44"/>
      <c r="D124" s="33"/>
      <c r="F124" s="33"/>
      <c r="H124" s="39"/>
      <c r="I124" s="39"/>
      <c r="J124" s="33"/>
      <c r="K124" s="33"/>
      <c r="L124" s="33"/>
      <c r="M124" s="33"/>
    </row>
    <row r="125" spans="1:13" x14ac:dyDescent="0.3">
      <c r="A125" s="167">
        <v>16</v>
      </c>
      <c r="B125" s="30">
        <v>106</v>
      </c>
      <c r="C125" s="43" t="str">
        <f>IF(ISBLANK($D$3), "", $D$3+B125-1)</f>
        <v/>
      </c>
      <c r="D125" s="30"/>
      <c r="E125" s="30"/>
      <c r="F125" s="30"/>
      <c r="G125" s="30"/>
      <c r="H125" s="40"/>
      <c r="I125" s="40"/>
      <c r="J125" s="35" t="b">
        <v>0</v>
      </c>
      <c r="K125" s="30"/>
      <c r="L125" s="30"/>
      <c r="M125" s="48"/>
    </row>
    <row r="126" spans="1:13" x14ac:dyDescent="0.3">
      <c r="A126" s="168"/>
      <c r="B126" s="28">
        <v>107</v>
      </c>
      <c r="C126" s="43" t="str">
        <f t="shared" ref="C126:C131" si="15">IF(ISBLANK($D$3), "", $D$3+B126-1)</f>
        <v/>
      </c>
      <c r="D126" s="28"/>
      <c r="E126" s="28"/>
      <c r="F126" s="28"/>
      <c r="G126" s="28"/>
      <c r="H126" s="37"/>
      <c r="I126" s="37"/>
      <c r="J126" s="34" t="b">
        <v>0</v>
      </c>
      <c r="K126" s="28"/>
      <c r="L126" s="28"/>
      <c r="M126" s="46"/>
    </row>
    <row r="127" spans="1:13" x14ac:dyDescent="0.3">
      <c r="A127" s="168"/>
      <c r="B127" s="28">
        <v>108</v>
      </c>
      <c r="C127" s="43" t="str">
        <f t="shared" si="15"/>
        <v/>
      </c>
      <c r="D127" s="28"/>
      <c r="E127" s="28"/>
      <c r="F127" s="28"/>
      <c r="G127" s="28"/>
      <c r="H127" s="37"/>
      <c r="I127" s="37"/>
      <c r="J127" s="34" t="b">
        <v>0</v>
      </c>
      <c r="K127" s="28"/>
      <c r="L127" s="28"/>
      <c r="M127" s="46"/>
    </row>
    <row r="128" spans="1:13" x14ac:dyDescent="0.3">
      <c r="A128" s="168"/>
      <c r="B128" s="28">
        <v>109</v>
      </c>
      <c r="C128" s="43" t="str">
        <f t="shared" si="15"/>
        <v/>
      </c>
      <c r="D128" s="28"/>
      <c r="E128" s="28"/>
      <c r="F128" s="28"/>
      <c r="G128" s="28"/>
      <c r="H128" s="37"/>
      <c r="I128" s="37"/>
      <c r="J128" s="34" t="b">
        <v>0</v>
      </c>
      <c r="K128" s="28"/>
      <c r="L128" s="28"/>
      <c r="M128" s="46"/>
    </row>
    <row r="129" spans="1:13" x14ac:dyDescent="0.3">
      <c r="A129" s="168"/>
      <c r="B129" s="28">
        <v>110</v>
      </c>
      <c r="C129" s="43" t="str">
        <f t="shared" si="15"/>
        <v/>
      </c>
      <c r="D129" s="28"/>
      <c r="E129" s="28"/>
      <c r="F129" s="28"/>
      <c r="G129" s="28"/>
      <c r="H129" s="37"/>
      <c r="I129" s="37"/>
      <c r="J129" s="34" t="b">
        <v>0</v>
      </c>
      <c r="K129" s="28"/>
      <c r="L129" s="28"/>
      <c r="M129" s="46"/>
    </row>
    <row r="130" spans="1:13" x14ac:dyDescent="0.3">
      <c r="A130" s="168"/>
      <c r="B130" s="28">
        <v>111</v>
      </c>
      <c r="C130" s="43" t="str">
        <f t="shared" si="15"/>
        <v/>
      </c>
      <c r="D130" s="28"/>
      <c r="E130" s="28"/>
      <c r="F130" s="28"/>
      <c r="G130" s="28"/>
      <c r="H130" s="37"/>
      <c r="I130" s="37"/>
      <c r="J130" s="34" t="b">
        <v>0</v>
      </c>
      <c r="K130" s="28"/>
      <c r="L130" s="28"/>
      <c r="M130" s="46"/>
    </row>
    <row r="131" spans="1:13" x14ac:dyDescent="0.3">
      <c r="A131" s="169"/>
      <c r="B131" s="29">
        <v>112</v>
      </c>
      <c r="C131" s="43" t="str">
        <f t="shared" si="15"/>
        <v/>
      </c>
      <c r="D131" s="29"/>
      <c r="E131" s="29"/>
      <c r="F131" s="29"/>
      <c r="G131" s="29"/>
      <c r="H131" s="38"/>
      <c r="I131" s="38"/>
      <c r="J131" s="36" t="b">
        <v>0</v>
      </c>
      <c r="K131" s="29"/>
      <c r="L131" s="29"/>
      <c r="M131" s="47"/>
    </row>
    <row r="132" spans="1:13" x14ac:dyDescent="0.3">
      <c r="B132" s="33"/>
      <c r="C132" s="44"/>
      <c r="D132" s="33"/>
      <c r="E132" s="33"/>
      <c r="G132" s="33"/>
      <c r="H132" s="39"/>
      <c r="I132" s="39"/>
      <c r="K132" s="33"/>
      <c r="L132" s="33"/>
    </row>
    <row r="133" spans="1:13" x14ac:dyDescent="0.3">
      <c r="A133" s="167">
        <v>17</v>
      </c>
      <c r="B133" s="30">
        <v>113</v>
      </c>
      <c r="C133" s="43" t="str">
        <f>IF(ISBLANK($D$3), "", $D$3+B133-1)</f>
        <v/>
      </c>
      <c r="D133" s="30"/>
      <c r="E133" s="30"/>
      <c r="F133" s="30"/>
      <c r="G133" s="30"/>
      <c r="H133" s="40"/>
      <c r="I133" s="40"/>
      <c r="J133" s="35" t="b">
        <v>0</v>
      </c>
      <c r="K133" s="30"/>
      <c r="L133" s="30"/>
      <c r="M133" s="48"/>
    </row>
    <row r="134" spans="1:13" x14ac:dyDescent="0.3">
      <c r="A134" s="168"/>
      <c r="B134" s="28">
        <v>114</v>
      </c>
      <c r="C134" s="43" t="str">
        <f t="shared" ref="C134:C139" si="16">IF(ISBLANK($D$3), "", $D$3+B134-1)</f>
        <v/>
      </c>
      <c r="D134" s="28"/>
      <c r="E134" s="28"/>
      <c r="F134" s="28"/>
      <c r="G134" s="28"/>
      <c r="H134" s="37"/>
      <c r="I134" s="37"/>
      <c r="J134" s="34" t="b">
        <v>0</v>
      </c>
      <c r="K134" s="28"/>
      <c r="L134" s="28"/>
      <c r="M134" s="46"/>
    </row>
    <row r="135" spans="1:13" x14ac:dyDescent="0.3">
      <c r="A135" s="168"/>
      <c r="B135" s="28">
        <v>115</v>
      </c>
      <c r="C135" s="43" t="str">
        <f t="shared" si="16"/>
        <v/>
      </c>
      <c r="D135" s="28"/>
      <c r="E135" s="28"/>
      <c r="F135" s="28"/>
      <c r="G135" s="28"/>
      <c r="H135" s="37"/>
      <c r="I135" s="37"/>
      <c r="J135" s="34" t="b">
        <v>0</v>
      </c>
      <c r="K135" s="28"/>
      <c r="L135" s="28"/>
      <c r="M135" s="46"/>
    </row>
    <row r="136" spans="1:13" x14ac:dyDescent="0.3">
      <c r="A136" s="168"/>
      <c r="B136" s="28">
        <v>116</v>
      </c>
      <c r="C136" s="43" t="str">
        <f t="shared" si="16"/>
        <v/>
      </c>
      <c r="D136" s="28"/>
      <c r="E136" s="28"/>
      <c r="F136" s="28"/>
      <c r="G136" s="28"/>
      <c r="H136" s="37"/>
      <c r="I136" s="37"/>
      <c r="J136" s="34" t="b">
        <v>0</v>
      </c>
      <c r="K136" s="28"/>
      <c r="L136" s="28"/>
      <c r="M136" s="46"/>
    </row>
    <row r="137" spans="1:13" x14ac:dyDescent="0.3">
      <c r="A137" s="168"/>
      <c r="B137" s="28">
        <v>117</v>
      </c>
      <c r="C137" s="43" t="str">
        <f t="shared" si="16"/>
        <v/>
      </c>
      <c r="D137" s="28"/>
      <c r="E137" s="28"/>
      <c r="F137" s="28"/>
      <c r="G137" s="28"/>
      <c r="H137" s="37"/>
      <c r="I137" s="37"/>
      <c r="J137" s="34" t="b">
        <v>0</v>
      </c>
      <c r="K137" s="28"/>
      <c r="L137" s="28"/>
      <c r="M137" s="46"/>
    </row>
    <row r="138" spans="1:13" x14ac:dyDescent="0.3">
      <c r="A138" s="168"/>
      <c r="B138" s="28">
        <v>118</v>
      </c>
      <c r="C138" s="43" t="str">
        <f t="shared" si="16"/>
        <v/>
      </c>
      <c r="D138" s="28"/>
      <c r="E138" s="28"/>
      <c r="F138" s="28"/>
      <c r="G138" s="28"/>
      <c r="H138" s="37"/>
      <c r="I138" s="37"/>
      <c r="J138" s="34" t="b">
        <v>0</v>
      </c>
      <c r="K138" s="28"/>
      <c r="L138" s="28"/>
      <c r="M138" s="46"/>
    </row>
    <row r="139" spans="1:13" x14ac:dyDescent="0.3">
      <c r="A139" s="169"/>
      <c r="B139" s="29">
        <v>119</v>
      </c>
      <c r="C139" s="43" t="str">
        <f t="shared" si="16"/>
        <v/>
      </c>
      <c r="D139" s="29"/>
      <c r="E139" s="29"/>
      <c r="F139" s="29"/>
      <c r="G139" s="29"/>
      <c r="H139" s="38"/>
      <c r="I139" s="38"/>
      <c r="J139" s="34" t="b">
        <v>0</v>
      </c>
      <c r="K139" s="29"/>
      <c r="L139" s="29"/>
      <c r="M139" s="47"/>
    </row>
    <row r="140" spans="1:13" x14ac:dyDescent="0.3">
      <c r="B140" s="33"/>
      <c r="C140" s="44"/>
      <c r="D140" s="33"/>
      <c r="E140" s="33"/>
      <c r="F140" s="33"/>
      <c r="G140" s="33"/>
      <c r="H140" s="39"/>
      <c r="I140" s="39"/>
      <c r="J140" s="33"/>
      <c r="L140" s="33"/>
    </row>
    <row r="141" spans="1:13" x14ac:dyDescent="0.3">
      <c r="A141" s="167">
        <v>18</v>
      </c>
      <c r="B141" s="30">
        <v>120</v>
      </c>
      <c r="C141" s="43" t="str">
        <f>IF(ISBLANK($D$3), "", $D$3+B141-1)</f>
        <v/>
      </c>
      <c r="D141" s="30"/>
      <c r="E141" s="30"/>
      <c r="F141" s="30"/>
      <c r="G141" s="30"/>
      <c r="H141" s="40"/>
      <c r="I141" s="40"/>
      <c r="J141" s="35" t="b">
        <v>0</v>
      </c>
      <c r="K141" s="30"/>
      <c r="L141" s="30"/>
      <c r="M141" s="48"/>
    </row>
    <row r="142" spans="1:13" x14ac:dyDescent="0.3">
      <c r="A142" s="168"/>
      <c r="B142" s="28">
        <v>121</v>
      </c>
      <c r="C142" s="43" t="str">
        <f t="shared" ref="C142:C147" si="17">IF(ISBLANK($D$3), "", $D$3+B142-1)</f>
        <v/>
      </c>
      <c r="D142" s="28"/>
      <c r="E142" s="28"/>
      <c r="F142" s="28"/>
      <c r="G142" s="28"/>
      <c r="H142" s="37"/>
      <c r="I142" s="37"/>
      <c r="J142" s="34" t="b">
        <v>0</v>
      </c>
      <c r="K142" s="28"/>
      <c r="L142" s="28"/>
      <c r="M142" s="46"/>
    </row>
    <row r="143" spans="1:13" x14ac:dyDescent="0.3">
      <c r="A143" s="168"/>
      <c r="B143" s="28">
        <v>122</v>
      </c>
      <c r="C143" s="43" t="str">
        <f t="shared" si="17"/>
        <v/>
      </c>
      <c r="D143" s="28"/>
      <c r="E143" s="28"/>
      <c r="F143" s="28"/>
      <c r="G143" s="28"/>
      <c r="H143" s="37"/>
      <c r="I143" s="37"/>
      <c r="J143" s="34" t="b">
        <v>0</v>
      </c>
      <c r="K143" s="28"/>
      <c r="L143" s="28"/>
      <c r="M143" s="46"/>
    </row>
    <row r="144" spans="1:13" x14ac:dyDescent="0.3">
      <c r="A144" s="168"/>
      <c r="B144" s="28">
        <v>123</v>
      </c>
      <c r="C144" s="43" t="str">
        <f t="shared" si="17"/>
        <v/>
      </c>
      <c r="D144" s="28"/>
      <c r="E144" s="28"/>
      <c r="F144" s="28"/>
      <c r="G144" s="28"/>
      <c r="H144" s="37"/>
      <c r="I144" s="37"/>
      <c r="J144" s="34" t="b">
        <v>0</v>
      </c>
      <c r="K144" s="28"/>
      <c r="L144" s="28"/>
      <c r="M144" s="46"/>
    </row>
    <row r="145" spans="1:13" x14ac:dyDescent="0.3">
      <c r="A145" s="168"/>
      <c r="B145" s="28">
        <v>124</v>
      </c>
      <c r="C145" s="43" t="str">
        <f t="shared" si="17"/>
        <v/>
      </c>
      <c r="D145" s="28"/>
      <c r="E145" s="28"/>
      <c r="F145" s="28"/>
      <c r="G145" s="28"/>
      <c r="H145" s="37"/>
      <c r="I145" s="37"/>
      <c r="J145" s="34" t="b">
        <v>0</v>
      </c>
      <c r="K145" s="28"/>
      <c r="L145" s="28"/>
      <c r="M145" s="46"/>
    </row>
    <row r="146" spans="1:13" x14ac:dyDescent="0.3">
      <c r="A146" s="168"/>
      <c r="B146" s="28">
        <v>125</v>
      </c>
      <c r="C146" s="43" t="str">
        <f t="shared" si="17"/>
        <v/>
      </c>
      <c r="D146" s="28"/>
      <c r="E146" s="28"/>
      <c r="F146" s="28"/>
      <c r="G146" s="28"/>
      <c r="H146" s="37"/>
      <c r="I146" s="37"/>
      <c r="J146" s="34" t="b">
        <v>0</v>
      </c>
      <c r="K146" s="28"/>
      <c r="L146" s="28"/>
      <c r="M146" s="46"/>
    </row>
    <row r="147" spans="1:13" x14ac:dyDescent="0.3">
      <c r="A147" s="169"/>
      <c r="B147" s="29">
        <v>126</v>
      </c>
      <c r="C147" s="43" t="str">
        <f t="shared" si="17"/>
        <v/>
      </c>
      <c r="D147" s="29"/>
      <c r="E147" s="29"/>
      <c r="F147" s="29"/>
      <c r="G147" s="29"/>
      <c r="H147" s="38"/>
      <c r="I147" s="38"/>
      <c r="J147" s="34" t="b">
        <v>0</v>
      </c>
      <c r="K147" s="29"/>
      <c r="L147" s="29"/>
      <c r="M147" s="47"/>
    </row>
    <row r="148" spans="1:13" x14ac:dyDescent="0.3">
      <c r="B148" s="33"/>
      <c r="C148" s="44"/>
      <c r="D148" s="33"/>
      <c r="E148" s="33"/>
      <c r="G148" s="33"/>
      <c r="H148" s="39"/>
      <c r="I148" s="4"/>
      <c r="J148" s="33"/>
      <c r="K148" s="33"/>
      <c r="L148" s="33"/>
      <c r="M148" s="33"/>
    </row>
    <row r="149" spans="1:13" x14ac:dyDescent="0.3">
      <c r="A149" s="167">
        <v>19</v>
      </c>
      <c r="B149" s="30">
        <v>127</v>
      </c>
      <c r="C149" s="43" t="str">
        <f>IF(ISBLANK($D$3), "", $D$3+B149-1)</f>
        <v/>
      </c>
      <c r="D149" s="30"/>
      <c r="E149" s="30"/>
      <c r="F149" s="30"/>
      <c r="G149" s="30"/>
      <c r="H149" s="40"/>
      <c r="I149" s="40"/>
      <c r="J149" s="35" t="b">
        <v>0</v>
      </c>
      <c r="K149" s="30"/>
      <c r="L149" s="30"/>
      <c r="M149" s="48"/>
    </row>
    <row r="150" spans="1:13" x14ac:dyDescent="0.3">
      <c r="A150" s="168"/>
      <c r="B150" s="28">
        <v>128</v>
      </c>
      <c r="C150" s="43" t="str">
        <f t="shared" ref="C150:C155" si="18">IF(ISBLANK($D$3), "", $D$3+B150-1)</f>
        <v/>
      </c>
      <c r="D150" s="28"/>
      <c r="E150" s="28"/>
      <c r="F150" s="28"/>
      <c r="G150" s="28"/>
      <c r="H150" s="37"/>
      <c r="I150" s="37"/>
      <c r="J150" s="34" t="b">
        <v>0</v>
      </c>
      <c r="K150" s="28"/>
      <c r="L150" s="28"/>
      <c r="M150" s="46"/>
    </row>
    <row r="151" spans="1:13" x14ac:dyDescent="0.3">
      <c r="A151" s="168"/>
      <c r="B151" s="28">
        <v>129</v>
      </c>
      <c r="C151" s="43" t="str">
        <f t="shared" si="18"/>
        <v/>
      </c>
      <c r="D151" s="28"/>
      <c r="E151" s="28"/>
      <c r="F151" s="28"/>
      <c r="G151" s="28"/>
      <c r="H151" s="37"/>
      <c r="I151" s="37"/>
      <c r="J151" s="34" t="b">
        <v>0</v>
      </c>
      <c r="K151" s="28"/>
      <c r="L151" s="28"/>
      <c r="M151" s="46"/>
    </row>
    <row r="152" spans="1:13" x14ac:dyDescent="0.3">
      <c r="A152" s="168"/>
      <c r="B152" s="28">
        <v>130</v>
      </c>
      <c r="C152" s="43" t="str">
        <f t="shared" si="18"/>
        <v/>
      </c>
      <c r="D152" s="28"/>
      <c r="E152" s="28"/>
      <c r="F152" s="28"/>
      <c r="G152" s="28"/>
      <c r="H152" s="37"/>
      <c r="I152" s="37"/>
      <c r="J152" s="34" t="b">
        <v>0</v>
      </c>
      <c r="K152" s="28"/>
      <c r="L152" s="28"/>
      <c r="M152" s="46"/>
    </row>
    <row r="153" spans="1:13" x14ac:dyDescent="0.3">
      <c r="A153" s="168"/>
      <c r="B153" s="28">
        <v>131</v>
      </c>
      <c r="C153" s="43" t="str">
        <f t="shared" si="18"/>
        <v/>
      </c>
      <c r="D153" s="28"/>
      <c r="E153" s="28"/>
      <c r="F153" s="28"/>
      <c r="G153" s="28"/>
      <c r="H153" s="37"/>
      <c r="I153" s="37"/>
      <c r="J153" s="34" t="b">
        <v>0</v>
      </c>
      <c r="K153" s="28"/>
      <c r="L153" s="28"/>
      <c r="M153" s="46"/>
    </row>
    <row r="154" spans="1:13" x14ac:dyDescent="0.3">
      <c r="A154" s="168"/>
      <c r="B154" s="28">
        <v>132</v>
      </c>
      <c r="C154" s="43" t="str">
        <f t="shared" si="18"/>
        <v/>
      </c>
      <c r="D154" s="28"/>
      <c r="E154" s="28"/>
      <c r="F154" s="28"/>
      <c r="G154" s="28"/>
      <c r="H154" s="37"/>
      <c r="I154" s="37"/>
      <c r="J154" s="34" t="b">
        <v>0</v>
      </c>
      <c r="K154" s="28"/>
      <c r="L154" s="28"/>
      <c r="M154" s="46"/>
    </row>
    <row r="155" spans="1:13" x14ac:dyDescent="0.3">
      <c r="A155" s="169"/>
      <c r="B155" s="29">
        <v>133</v>
      </c>
      <c r="C155" s="43" t="str">
        <f t="shared" si="18"/>
        <v/>
      </c>
      <c r="D155" s="29"/>
      <c r="E155" s="29"/>
      <c r="F155" s="29"/>
      <c r="G155" s="29"/>
      <c r="H155" s="38"/>
      <c r="I155" s="38"/>
      <c r="J155" s="36" t="b">
        <v>0</v>
      </c>
      <c r="K155" s="29"/>
      <c r="L155" s="29"/>
      <c r="M155" s="47"/>
    </row>
    <row r="156" spans="1:13" x14ac:dyDescent="0.3">
      <c r="B156" s="33"/>
      <c r="C156" s="44"/>
      <c r="D156" s="33"/>
      <c r="E156" s="33"/>
      <c r="F156" s="33"/>
      <c r="G156" s="33"/>
      <c r="H156" s="39"/>
      <c r="I156" s="39"/>
      <c r="K156" s="33"/>
      <c r="L156" s="33"/>
      <c r="M156" s="33"/>
    </row>
    <row r="157" spans="1:13" x14ac:dyDescent="0.3">
      <c r="A157" s="167">
        <v>20</v>
      </c>
      <c r="B157" s="30">
        <v>134</v>
      </c>
      <c r="C157" s="43" t="str">
        <f>IF(ISBLANK($D$3), "", $D$3+B157-1)</f>
        <v/>
      </c>
      <c r="D157" s="30"/>
      <c r="E157" s="30"/>
      <c r="F157" s="30"/>
      <c r="G157" s="30"/>
      <c r="H157" s="40"/>
      <c r="I157" s="40"/>
      <c r="J157" s="35" t="b">
        <v>0</v>
      </c>
      <c r="K157" s="30"/>
      <c r="L157" s="30"/>
      <c r="M157" s="48"/>
    </row>
    <row r="158" spans="1:13" x14ac:dyDescent="0.3">
      <c r="A158" s="168"/>
      <c r="B158" s="28">
        <v>135</v>
      </c>
      <c r="C158" s="43" t="str">
        <f t="shared" ref="C158:C163" si="19">IF(ISBLANK($D$3), "", $D$3+B158-1)</f>
        <v/>
      </c>
      <c r="D158" s="28"/>
      <c r="E158" s="28"/>
      <c r="F158" s="28"/>
      <c r="G158" s="28"/>
      <c r="H158" s="37"/>
      <c r="I158" s="37"/>
      <c r="J158" s="34" t="b">
        <v>0</v>
      </c>
      <c r="K158" s="28"/>
      <c r="L158" s="28"/>
      <c r="M158" s="46"/>
    </row>
    <row r="159" spans="1:13" x14ac:dyDescent="0.3">
      <c r="A159" s="168"/>
      <c r="B159" s="28">
        <v>136</v>
      </c>
      <c r="C159" s="43" t="str">
        <f t="shared" si="19"/>
        <v/>
      </c>
      <c r="D159" s="28"/>
      <c r="E159" s="28"/>
      <c r="F159" s="28"/>
      <c r="G159" s="28"/>
      <c r="H159" s="37"/>
      <c r="I159" s="37"/>
      <c r="J159" s="34" t="b">
        <v>0</v>
      </c>
      <c r="K159" s="28"/>
      <c r="L159" s="28"/>
      <c r="M159" s="46"/>
    </row>
    <row r="160" spans="1:13" x14ac:dyDescent="0.3">
      <c r="A160" s="168"/>
      <c r="B160" s="28">
        <v>137</v>
      </c>
      <c r="C160" s="43" t="str">
        <f t="shared" si="19"/>
        <v/>
      </c>
      <c r="D160" s="28"/>
      <c r="E160" s="28"/>
      <c r="F160" s="28"/>
      <c r="G160" s="28"/>
      <c r="H160" s="37"/>
      <c r="I160" s="37"/>
      <c r="J160" s="34" t="b">
        <v>0</v>
      </c>
      <c r="K160" s="28"/>
      <c r="L160" s="28"/>
      <c r="M160" s="46"/>
    </row>
    <row r="161" spans="1:13" x14ac:dyDescent="0.3">
      <c r="A161" s="168"/>
      <c r="B161" s="28">
        <v>138</v>
      </c>
      <c r="C161" s="43" t="str">
        <f t="shared" si="19"/>
        <v/>
      </c>
      <c r="D161" s="28"/>
      <c r="E161" s="28"/>
      <c r="F161" s="28"/>
      <c r="G161" s="28"/>
      <c r="H161" s="37"/>
      <c r="I161" s="37"/>
      <c r="J161" s="34" t="b">
        <v>0</v>
      </c>
      <c r="K161" s="28"/>
      <c r="L161" s="28"/>
      <c r="M161" s="46"/>
    </row>
    <row r="162" spans="1:13" x14ac:dyDescent="0.3">
      <c r="A162" s="168"/>
      <c r="B162" s="28">
        <v>139</v>
      </c>
      <c r="C162" s="43" t="str">
        <f t="shared" si="19"/>
        <v/>
      </c>
      <c r="D162" s="28"/>
      <c r="E162" s="28"/>
      <c r="F162" s="28"/>
      <c r="G162" s="28"/>
      <c r="H162" s="37"/>
      <c r="I162" s="37"/>
      <c r="J162" s="34" t="b">
        <v>0</v>
      </c>
      <c r="K162" s="28"/>
      <c r="L162" s="28"/>
      <c r="M162" s="46"/>
    </row>
    <row r="163" spans="1:13" x14ac:dyDescent="0.3">
      <c r="A163" s="169"/>
      <c r="B163" s="29">
        <v>140</v>
      </c>
      <c r="C163" s="43" t="str">
        <f t="shared" si="19"/>
        <v/>
      </c>
      <c r="D163" s="29"/>
      <c r="E163" s="29"/>
      <c r="F163" s="29"/>
      <c r="G163" s="29"/>
      <c r="H163" s="38"/>
      <c r="I163" s="38"/>
      <c r="J163" s="36" t="b">
        <v>0</v>
      </c>
      <c r="K163" s="29"/>
      <c r="L163" s="29"/>
      <c r="M163" s="47"/>
    </row>
    <row r="164" spans="1:13" x14ac:dyDescent="0.3">
      <c r="C164" s="26"/>
    </row>
  </sheetData>
  <mergeCells count="23">
    <mergeCell ref="A133:A139"/>
    <mergeCell ref="A141:A147"/>
    <mergeCell ref="A149:A155"/>
    <mergeCell ref="A157:A163"/>
    <mergeCell ref="A3:C3"/>
    <mergeCell ref="A85:A91"/>
    <mergeCell ref="A93:A99"/>
    <mergeCell ref="A101:A107"/>
    <mergeCell ref="A109:A115"/>
    <mergeCell ref="A117:A123"/>
    <mergeCell ref="A125:A131"/>
    <mergeCell ref="A37:A43"/>
    <mergeCell ref="A45:A51"/>
    <mergeCell ref="A53:A59"/>
    <mergeCell ref="A61:A67"/>
    <mergeCell ref="A69:A75"/>
    <mergeCell ref="A77:A83"/>
    <mergeCell ref="A1:M1"/>
    <mergeCell ref="A2:C2"/>
    <mergeCell ref="A5:A11"/>
    <mergeCell ref="A13:A19"/>
    <mergeCell ref="A21:A27"/>
    <mergeCell ref="A29:A35"/>
  </mergeCells>
  <conditionalFormatting sqref="B5:M11 B13:M19 B21:M27 B29:M35 B37:M43 B45:M51 B53:M59 B61:M67 B69:M75 B77:M83 B85:M91 B93:M99 B101:M107 B109:M115 B117:M123 B125:M131 B133:M139 B141:M147 B149:M155 B157:M163">
    <cfRule type="expression" dxfId="9" priority="2">
      <formula>MOD(ROW(),2)=0</formula>
    </cfRule>
  </conditionalFormatting>
  <conditionalFormatting sqref="J5:J163">
    <cfRule type="expression" dxfId="8" priority="1">
      <formula>$J5=TRUE</formula>
    </cfRule>
  </conditionalFormatting>
  <dataValidations xWindow="434" yWindow="453" count="1">
    <dataValidation type="list" allowBlank="1" showInputMessage="1" showErrorMessage="1" promptTitle="Select Run Type" prompt="Add more to the data validation list if needed (comma-seperated, found in settings)." sqref="D5" xr:uid="{21833484-064A-4E0B-988C-05A06914BEB7}">
      <formula1>"Easy, Long, Tempo, Threshold, Intervals, Progression, Speed Repeats, Recovery, Rest, Race, Goal Pace"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14079-BBAD-4E3E-A6F4-99EDBF6231E2}">
  <sheetPr codeName="Sheet4"/>
  <dimension ref="A2:K105"/>
  <sheetViews>
    <sheetView tabSelected="1" topLeftCell="A2" workbookViewId="0">
      <selection activeCell="E13" sqref="E13"/>
    </sheetView>
  </sheetViews>
  <sheetFormatPr defaultColWidth="9.109375" defaultRowHeight="14.4" x14ac:dyDescent="0.3"/>
  <cols>
    <col min="1" max="1" width="33.88671875" style="1" customWidth="1"/>
    <col min="2" max="2" width="15.6640625" style="1" customWidth="1"/>
    <col min="3" max="3" width="18" style="1" bestFit="1" customWidth="1"/>
    <col min="4" max="4" width="15.6640625" style="1" bestFit="1" customWidth="1"/>
    <col min="5" max="5" width="22.88671875" style="1" bestFit="1" customWidth="1"/>
    <col min="6" max="7" width="21.109375" style="1" bestFit="1" customWidth="1"/>
    <col min="8" max="8" width="19.33203125" style="1" bestFit="1" customWidth="1"/>
    <col min="9" max="9" width="21.33203125" style="1" bestFit="1" customWidth="1"/>
    <col min="10" max="10" width="33.44140625" style="1" customWidth="1"/>
    <col min="11" max="11" width="68.5546875" style="1" customWidth="1"/>
    <col min="12" max="16384" width="9.109375" style="1"/>
  </cols>
  <sheetData>
    <row r="2" spans="1:11" ht="16.5" x14ac:dyDescent="0.3">
      <c r="A2" s="173" t="s">
        <v>63</v>
      </c>
      <c r="B2" s="173"/>
      <c r="C2" s="173"/>
    </row>
    <row r="3" spans="1:11" ht="16.5" x14ac:dyDescent="0.3">
      <c r="A3" s="18" t="s">
        <v>26</v>
      </c>
      <c r="B3" s="19" t="s">
        <v>27</v>
      </c>
      <c r="C3" s="19" t="s">
        <v>28</v>
      </c>
      <c r="D3" s="19" t="s">
        <v>16</v>
      </c>
      <c r="E3" s="19" t="s">
        <v>72</v>
      </c>
      <c r="F3" s="19" t="s">
        <v>73</v>
      </c>
      <c r="G3" s="19" t="s">
        <v>31</v>
      </c>
      <c r="H3" s="19" t="s">
        <v>32</v>
      </c>
      <c r="I3" s="19" t="s">
        <v>33</v>
      </c>
      <c r="J3" s="19" t="s">
        <v>34</v>
      </c>
      <c r="K3" s="20" t="s">
        <v>19</v>
      </c>
    </row>
    <row r="4" spans="1:11" ht="16.5" x14ac:dyDescent="0.3">
      <c r="A4" s="11"/>
      <c r="B4" s="58"/>
      <c r="C4" s="11"/>
      <c r="D4" s="11"/>
      <c r="E4" s="70"/>
      <c r="F4" s="76"/>
      <c r="G4" s="11"/>
      <c r="H4" s="11"/>
      <c r="I4" s="11"/>
      <c r="J4" s="11"/>
      <c r="K4" s="11"/>
    </row>
    <row r="5" spans="1:11" ht="16.5" x14ac:dyDescent="0.3">
      <c r="A5" s="57" t="s">
        <v>68</v>
      </c>
      <c r="E5" s="1" t="s">
        <v>75</v>
      </c>
      <c r="F5" s="1" t="s">
        <v>74</v>
      </c>
    </row>
    <row r="6" spans="1:11" ht="20.25" customHeight="1" x14ac:dyDescent="0.3">
      <c r="A6" s="69"/>
      <c r="B6" s="57"/>
      <c r="C6" s="57"/>
      <c r="E6" s="1" t="s">
        <v>76</v>
      </c>
      <c r="F6" s="68"/>
    </row>
    <row r="8" spans="1:11" ht="16.5" x14ac:dyDescent="0.3">
      <c r="B8" s="56" t="s">
        <v>64</v>
      </c>
      <c r="C8" s="11" t="s">
        <v>27</v>
      </c>
    </row>
    <row r="9" spans="1:11" ht="16.5" x14ac:dyDescent="0.3">
      <c r="B9" s="56" t="s">
        <v>65</v>
      </c>
      <c r="C9" s="11" t="s">
        <v>183</v>
      </c>
    </row>
    <row r="11" spans="1:11" ht="18.75" thickBot="1" x14ac:dyDescent="0.4">
      <c r="A11" s="12" t="s">
        <v>26</v>
      </c>
      <c r="B11" s="12" t="s">
        <v>27</v>
      </c>
      <c r="C11" s="12" t="s">
        <v>28</v>
      </c>
      <c r="D11" s="12" t="s">
        <v>16</v>
      </c>
      <c r="E11" s="12" t="s">
        <v>29</v>
      </c>
      <c r="F11" s="12" t="s">
        <v>30</v>
      </c>
      <c r="G11" s="12" t="s">
        <v>31</v>
      </c>
      <c r="H11" s="12" t="s">
        <v>32</v>
      </c>
      <c r="I11" s="12" t="s">
        <v>33</v>
      </c>
      <c r="J11" s="12" t="s">
        <v>34</v>
      </c>
      <c r="K11" s="13" t="s">
        <v>19</v>
      </c>
    </row>
    <row r="12" spans="1:11" ht="16.5" x14ac:dyDescent="0.3">
      <c r="A12" s="62" t="s">
        <v>115</v>
      </c>
      <c r="B12" s="63">
        <v>45996</v>
      </c>
      <c r="C12" s="62" t="s">
        <v>67</v>
      </c>
      <c r="D12" s="62">
        <v>5.2</v>
      </c>
      <c r="E12" s="71">
        <v>3.7546296296296293E-2</v>
      </c>
      <c r="F12" s="77">
        <v>7.2106481481481483E-3</v>
      </c>
      <c r="G12" s="62">
        <v>390</v>
      </c>
      <c r="H12" s="62">
        <v>168</v>
      </c>
      <c r="I12" s="62">
        <v>4</v>
      </c>
      <c r="J12" s="62" t="s">
        <v>116</v>
      </c>
      <c r="K12" s="64"/>
    </row>
    <row r="13" spans="1:11" ht="16.5" x14ac:dyDescent="0.3">
      <c r="A13" s="65" t="s">
        <v>117</v>
      </c>
      <c r="B13" s="66">
        <v>45995</v>
      </c>
      <c r="C13" s="65" t="s">
        <v>67</v>
      </c>
      <c r="D13" s="65">
        <v>2.0099999999999998</v>
      </c>
      <c r="E13" s="72">
        <v>1.3715277777777778E-2</v>
      </c>
      <c r="F13" s="78">
        <v>6.828703703703704E-3</v>
      </c>
      <c r="G13" s="65">
        <v>0</v>
      </c>
      <c r="H13" s="65">
        <v>176</v>
      </c>
      <c r="I13" s="65">
        <v>6</v>
      </c>
      <c r="J13" s="65" t="s">
        <v>118</v>
      </c>
      <c r="K13" s="67" t="s">
        <v>119</v>
      </c>
    </row>
    <row r="14" spans="1:11" ht="16.5" x14ac:dyDescent="0.3">
      <c r="A14" s="59" t="s">
        <v>120</v>
      </c>
      <c r="B14" s="60">
        <v>45995</v>
      </c>
      <c r="C14" s="59" t="s">
        <v>67</v>
      </c>
      <c r="D14" s="59">
        <v>1.1100000000000001</v>
      </c>
      <c r="E14" s="73">
        <v>6.2731481481481484E-3</v>
      </c>
      <c r="F14" s="79">
        <v>5.6481481481481478E-3</v>
      </c>
      <c r="G14" s="59">
        <v>0</v>
      </c>
      <c r="H14" s="59">
        <v>173</v>
      </c>
      <c r="I14" s="59">
        <v>8</v>
      </c>
      <c r="J14" s="59" t="s">
        <v>118</v>
      </c>
      <c r="K14" s="61" t="s">
        <v>121</v>
      </c>
    </row>
    <row r="15" spans="1:11" x14ac:dyDescent="0.3">
      <c r="A15" s="65" t="s">
        <v>122</v>
      </c>
      <c r="B15" s="66">
        <v>45994</v>
      </c>
      <c r="C15" s="65" t="s">
        <v>79</v>
      </c>
      <c r="D15" s="65">
        <v>2.16</v>
      </c>
      <c r="E15" s="72">
        <v>2.9456018518518517E-2</v>
      </c>
      <c r="F15" s="78">
        <v>1.3634259259259259E-2</v>
      </c>
      <c r="G15" s="65">
        <v>171</v>
      </c>
      <c r="H15" s="65">
        <v>94</v>
      </c>
      <c r="I15" s="65">
        <v>1</v>
      </c>
      <c r="J15" s="65"/>
      <c r="K15" s="67"/>
    </row>
    <row r="16" spans="1:11" x14ac:dyDescent="0.3">
      <c r="A16" s="59" t="s">
        <v>123</v>
      </c>
      <c r="B16" s="60">
        <v>45990</v>
      </c>
      <c r="C16" s="59" t="s">
        <v>79</v>
      </c>
      <c r="D16" s="59">
        <v>5.0599999999999996</v>
      </c>
      <c r="E16" s="73">
        <v>7.8182870370370375E-2</v>
      </c>
      <c r="F16" s="79">
        <v>1.545138888888889E-2</v>
      </c>
      <c r="G16" s="59">
        <v>308</v>
      </c>
      <c r="H16" s="59">
        <v>111</v>
      </c>
      <c r="I16" s="59">
        <v>4</v>
      </c>
      <c r="J16" s="59"/>
      <c r="K16" s="61"/>
    </row>
    <row r="17" spans="1:11" x14ac:dyDescent="0.3">
      <c r="A17" s="65" t="s">
        <v>124</v>
      </c>
      <c r="B17" s="66">
        <v>45987</v>
      </c>
      <c r="C17" s="65" t="s">
        <v>67</v>
      </c>
      <c r="D17" s="65">
        <v>5.05</v>
      </c>
      <c r="E17" s="72">
        <v>4.2685185185185187E-2</v>
      </c>
      <c r="F17" s="78">
        <v>8.4375000000000006E-3</v>
      </c>
      <c r="G17" s="65">
        <v>72</v>
      </c>
      <c r="H17" s="65">
        <v>144</v>
      </c>
      <c r="I17" s="65">
        <v>5</v>
      </c>
      <c r="J17" s="65" t="s">
        <v>125</v>
      </c>
      <c r="K17" s="67"/>
    </row>
    <row r="18" spans="1:11" x14ac:dyDescent="0.3">
      <c r="A18" s="59" t="s">
        <v>126</v>
      </c>
      <c r="B18" s="60">
        <v>45986</v>
      </c>
      <c r="C18" s="59" t="s">
        <v>67</v>
      </c>
      <c r="D18" s="59">
        <v>4.08</v>
      </c>
      <c r="E18" s="73">
        <v>2.7870370370370372E-2</v>
      </c>
      <c r="F18" s="79">
        <v>6.828703703703704E-3</v>
      </c>
      <c r="G18" s="59">
        <v>233</v>
      </c>
      <c r="H18" s="59">
        <v>169</v>
      </c>
      <c r="I18" s="59">
        <v>5</v>
      </c>
      <c r="J18" s="59"/>
      <c r="K18" s="61"/>
    </row>
    <row r="19" spans="1:11" x14ac:dyDescent="0.3">
      <c r="A19" s="65" t="s">
        <v>127</v>
      </c>
      <c r="B19" s="66">
        <v>45984</v>
      </c>
      <c r="C19" s="65" t="s">
        <v>79</v>
      </c>
      <c r="D19" s="65">
        <v>2.66</v>
      </c>
      <c r="E19" s="72">
        <v>2.4826388888888887E-2</v>
      </c>
      <c r="F19" s="78">
        <v>9.3287037037037036E-3</v>
      </c>
      <c r="G19" s="65">
        <v>236</v>
      </c>
      <c r="H19" s="65">
        <v>80</v>
      </c>
      <c r="I19" s="65">
        <v>5</v>
      </c>
      <c r="J19" s="65"/>
      <c r="K19" s="67"/>
    </row>
    <row r="20" spans="1:11" x14ac:dyDescent="0.3">
      <c r="A20" s="59" t="s">
        <v>128</v>
      </c>
      <c r="B20" s="60">
        <v>45983</v>
      </c>
      <c r="C20" s="59" t="s">
        <v>79</v>
      </c>
      <c r="D20" s="59">
        <v>1.51</v>
      </c>
      <c r="E20" s="73">
        <v>2.5752314814814815E-2</v>
      </c>
      <c r="F20" s="79">
        <v>1.7060185185185185E-2</v>
      </c>
      <c r="G20" s="59">
        <v>157</v>
      </c>
      <c r="H20" s="59">
        <v>122</v>
      </c>
      <c r="I20" s="59">
        <v>5</v>
      </c>
      <c r="J20" s="59"/>
      <c r="K20" s="61"/>
    </row>
    <row r="21" spans="1:11" x14ac:dyDescent="0.3">
      <c r="A21" s="65" t="s">
        <v>129</v>
      </c>
      <c r="B21" s="66">
        <v>45983</v>
      </c>
      <c r="C21" s="65" t="s">
        <v>67</v>
      </c>
      <c r="D21" s="65">
        <v>13.32</v>
      </c>
      <c r="E21" s="72">
        <v>8.7488425925925928E-2</v>
      </c>
      <c r="F21" s="78">
        <v>6.5624999999999998E-3</v>
      </c>
      <c r="G21" s="65">
        <v>338</v>
      </c>
      <c r="H21" s="65">
        <v>183</v>
      </c>
      <c r="I21" s="65">
        <v>9</v>
      </c>
      <c r="J21" s="65" t="s">
        <v>130</v>
      </c>
      <c r="K21" s="67" t="s">
        <v>131</v>
      </c>
    </row>
    <row r="22" spans="1:11" x14ac:dyDescent="0.3">
      <c r="A22" s="59" t="s">
        <v>132</v>
      </c>
      <c r="B22" s="60">
        <v>45975</v>
      </c>
      <c r="C22" s="59" t="s">
        <v>67</v>
      </c>
      <c r="D22" s="59">
        <v>5.01</v>
      </c>
      <c r="E22" s="73">
        <v>3.290509259259259E-2</v>
      </c>
      <c r="F22" s="79">
        <v>6.5624999999999998E-3</v>
      </c>
      <c r="G22" s="59">
        <v>66</v>
      </c>
      <c r="H22" s="59">
        <v>170</v>
      </c>
      <c r="I22" s="59">
        <v>7</v>
      </c>
      <c r="J22" s="59"/>
      <c r="K22" s="61"/>
    </row>
    <row r="23" spans="1:11" x14ac:dyDescent="0.3">
      <c r="A23" s="65" t="s">
        <v>133</v>
      </c>
      <c r="B23" s="66">
        <v>45973</v>
      </c>
      <c r="C23" s="65" t="s">
        <v>67</v>
      </c>
      <c r="D23" s="65">
        <v>2</v>
      </c>
      <c r="E23" s="72">
        <v>1.5613425925925926E-2</v>
      </c>
      <c r="F23" s="78">
        <v>7.789351851851852E-3</v>
      </c>
      <c r="G23" s="65">
        <v>39</v>
      </c>
      <c r="H23" s="65">
        <v>153</v>
      </c>
      <c r="I23" s="65">
        <v>2</v>
      </c>
      <c r="J23" s="65"/>
      <c r="K23" s="67"/>
    </row>
    <row r="24" spans="1:11" x14ac:dyDescent="0.3">
      <c r="A24" s="59" t="s">
        <v>134</v>
      </c>
      <c r="B24" s="60">
        <v>45973</v>
      </c>
      <c r="C24" s="59" t="s">
        <v>67</v>
      </c>
      <c r="D24" s="59">
        <v>4.3600000000000003</v>
      </c>
      <c r="E24" s="73">
        <v>2.9467592592592594E-2</v>
      </c>
      <c r="F24" s="79">
        <v>6.7476851851851856E-3</v>
      </c>
      <c r="G24" s="59">
        <v>203</v>
      </c>
      <c r="H24" s="59">
        <v>167</v>
      </c>
      <c r="I24" s="59">
        <v>5</v>
      </c>
      <c r="J24" s="59"/>
      <c r="K24" s="61"/>
    </row>
    <row r="25" spans="1:11" x14ac:dyDescent="0.3">
      <c r="A25" s="65" t="s">
        <v>135</v>
      </c>
      <c r="B25" s="66">
        <v>45972</v>
      </c>
      <c r="C25" s="65" t="s">
        <v>67</v>
      </c>
      <c r="D25" s="65">
        <v>6.2</v>
      </c>
      <c r="E25" s="72">
        <v>4.234953703703704E-2</v>
      </c>
      <c r="F25" s="78">
        <v>6.8171296296296296E-3</v>
      </c>
      <c r="G25" s="65">
        <v>144</v>
      </c>
      <c r="H25" s="65">
        <v>166</v>
      </c>
      <c r="I25" s="65">
        <v>7</v>
      </c>
      <c r="J25" s="127"/>
      <c r="K25" s="128"/>
    </row>
    <row r="26" spans="1:11" x14ac:dyDescent="0.3">
      <c r="A26" s="59" t="s">
        <v>136</v>
      </c>
      <c r="B26" s="60">
        <v>45970</v>
      </c>
      <c r="C26" s="59" t="s">
        <v>67</v>
      </c>
      <c r="D26" s="59">
        <v>13.11</v>
      </c>
      <c r="E26" s="73">
        <v>8.9513888888888893E-2</v>
      </c>
      <c r="F26" s="79">
        <v>6.828703703703704E-3</v>
      </c>
      <c r="G26" s="59">
        <v>253</v>
      </c>
      <c r="H26" s="59">
        <v>180</v>
      </c>
      <c r="I26" s="59">
        <v>8</v>
      </c>
      <c r="J26" s="59"/>
      <c r="K26" s="61"/>
    </row>
    <row r="27" spans="1:11" x14ac:dyDescent="0.3">
      <c r="A27" s="65" t="s">
        <v>137</v>
      </c>
      <c r="B27" s="66">
        <v>45970</v>
      </c>
      <c r="C27" s="65" t="s">
        <v>79</v>
      </c>
      <c r="D27" s="65">
        <v>1.04</v>
      </c>
      <c r="E27" s="72">
        <v>1.5405092592592592E-2</v>
      </c>
      <c r="F27" s="78">
        <v>1.4814814814814815E-2</v>
      </c>
      <c r="G27" s="65">
        <v>75</v>
      </c>
      <c r="H27" s="65">
        <v>109</v>
      </c>
      <c r="I27" s="65">
        <v>1</v>
      </c>
      <c r="J27" s="65"/>
      <c r="K27" s="67"/>
    </row>
    <row r="28" spans="1:11" x14ac:dyDescent="0.3">
      <c r="A28" s="59" t="s">
        <v>138</v>
      </c>
      <c r="B28" s="60">
        <v>45969</v>
      </c>
      <c r="C28" s="59" t="s">
        <v>67</v>
      </c>
      <c r="D28" s="59">
        <v>3.12</v>
      </c>
      <c r="E28" s="73">
        <v>2.1979166666666668E-2</v>
      </c>
      <c r="F28" s="79">
        <v>7.0486111111111114E-3</v>
      </c>
      <c r="G28" s="59">
        <v>148</v>
      </c>
      <c r="H28" s="59">
        <v>169</v>
      </c>
      <c r="I28" s="59">
        <v>5</v>
      </c>
      <c r="J28" s="59"/>
      <c r="K28" s="61"/>
    </row>
    <row r="29" spans="1:11" x14ac:dyDescent="0.3">
      <c r="A29" s="65" t="s">
        <v>139</v>
      </c>
      <c r="B29" s="66">
        <v>45967</v>
      </c>
      <c r="C29" s="65" t="s">
        <v>67</v>
      </c>
      <c r="D29" s="65">
        <v>7.02</v>
      </c>
      <c r="E29" s="72">
        <v>4.6863425925925926E-2</v>
      </c>
      <c r="F29" s="78">
        <v>6.6782407407407407E-3</v>
      </c>
      <c r="G29" s="65">
        <v>75</v>
      </c>
      <c r="H29" s="65">
        <v>176</v>
      </c>
      <c r="I29" s="65">
        <v>8</v>
      </c>
      <c r="J29" s="65"/>
      <c r="K29" s="67"/>
    </row>
    <row r="30" spans="1:11" x14ac:dyDescent="0.3">
      <c r="A30" s="59" t="s">
        <v>140</v>
      </c>
      <c r="B30" s="60">
        <v>45961</v>
      </c>
      <c r="C30" s="59" t="s">
        <v>67</v>
      </c>
      <c r="D30" s="59">
        <v>3.11</v>
      </c>
      <c r="E30" s="73">
        <v>2.2824074074074073E-2</v>
      </c>
      <c r="F30" s="79">
        <v>7.3263888888888892E-3</v>
      </c>
      <c r="G30" s="59">
        <v>154</v>
      </c>
      <c r="H30" s="59">
        <v>164</v>
      </c>
      <c r="I30" s="59">
        <v>6</v>
      </c>
      <c r="J30" s="59"/>
      <c r="K30" s="61"/>
    </row>
    <row r="31" spans="1:11" x14ac:dyDescent="0.3">
      <c r="A31" s="65" t="s">
        <v>141</v>
      </c>
      <c r="B31" s="66">
        <v>45959</v>
      </c>
      <c r="C31" s="65" t="s">
        <v>67</v>
      </c>
      <c r="D31" s="65">
        <v>8.1300000000000008</v>
      </c>
      <c r="E31" s="72">
        <v>5.6192129629629627E-2</v>
      </c>
      <c r="F31" s="78">
        <v>6.9097222222222225E-3</v>
      </c>
      <c r="G31" s="65">
        <v>10</v>
      </c>
      <c r="H31" s="65">
        <v>164</v>
      </c>
      <c r="I31" s="65">
        <v>9</v>
      </c>
      <c r="J31" s="65"/>
      <c r="K31" s="67"/>
    </row>
    <row r="32" spans="1:11" x14ac:dyDescent="0.3">
      <c r="A32" s="59" t="s">
        <v>142</v>
      </c>
      <c r="B32" s="60">
        <v>45959</v>
      </c>
      <c r="C32" s="59" t="s">
        <v>67</v>
      </c>
      <c r="D32" s="59">
        <v>4</v>
      </c>
      <c r="E32" s="73">
        <v>2.988425925925926E-2</v>
      </c>
      <c r="F32" s="79">
        <v>7.4652777777777781E-3</v>
      </c>
      <c r="G32" s="59">
        <v>36</v>
      </c>
      <c r="H32" s="59">
        <v>151</v>
      </c>
      <c r="I32" s="59">
        <v>2</v>
      </c>
      <c r="J32" s="59"/>
      <c r="K32" s="61"/>
    </row>
    <row r="33" spans="1:11" x14ac:dyDescent="0.3">
      <c r="A33" s="65" t="s">
        <v>152</v>
      </c>
      <c r="B33" s="66">
        <v>45959</v>
      </c>
      <c r="C33" s="65" t="s">
        <v>67</v>
      </c>
      <c r="D33" s="65">
        <v>10.35</v>
      </c>
      <c r="E33" s="72">
        <v>7.4756944444444445E-2</v>
      </c>
      <c r="F33" s="78">
        <v>7.4652777777777781E-3</v>
      </c>
      <c r="G33" s="65">
        <v>217</v>
      </c>
      <c r="H33" s="65">
        <v>170</v>
      </c>
      <c r="I33" s="65">
        <v>7</v>
      </c>
      <c r="J33" s="65"/>
      <c r="K33" s="67"/>
    </row>
    <row r="34" spans="1:11" x14ac:dyDescent="0.3">
      <c r="A34" s="59" t="s">
        <v>143</v>
      </c>
      <c r="B34" s="60">
        <v>45958</v>
      </c>
      <c r="C34" s="59" t="s">
        <v>67</v>
      </c>
      <c r="D34" s="59">
        <v>6.01</v>
      </c>
      <c r="E34" s="73">
        <v>4.3854166666666666E-2</v>
      </c>
      <c r="F34" s="79">
        <v>7.2916666666666668E-3</v>
      </c>
      <c r="G34" s="59">
        <v>79</v>
      </c>
      <c r="H34" s="59">
        <v>159</v>
      </c>
      <c r="I34" s="59">
        <v>8</v>
      </c>
      <c r="J34" s="59"/>
      <c r="K34" s="61"/>
    </row>
    <row r="35" spans="1:11" x14ac:dyDescent="0.3">
      <c r="A35" s="65" t="s">
        <v>144</v>
      </c>
      <c r="B35" s="66">
        <v>45958</v>
      </c>
      <c r="C35" s="65" t="s">
        <v>79</v>
      </c>
      <c r="D35" s="65">
        <v>1</v>
      </c>
      <c r="E35" s="72">
        <v>1.2002314814814815E-2</v>
      </c>
      <c r="F35" s="78">
        <v>1.2002314814814815E-2</v>
      </c>
      <c r="G35" s="65">
        <v>10</v>
      </c>
      <c r="H35" s="65">
        <v>104</v>
      </c>
      <c r="I35" s="65">
        <v>1</v>
      </c>
      <c r="J35" s="65"/>
      <c r="K35" s="67"/>
    </row>
    <row r="36" spans="1:11" x14ac:dyDescent="0.3">
      <c r="A36" s="59" t="s">
        <v>145</v>
      </c>
      <c r="B36" s="60">
        <v>45956</v>
      </c>
      <c r="C36" s="59" t="s">
        <v>67</v>
      </c>
      <c r="D36" s="59">
        <v>10.039999999999999</v>
      </c>
      <c r="E36" s="73">
        <v>7.1435185185185185E-2</v>
      </c>
      <c r="F36" s="79">
        <v>7.1180555555555554E-3</v>
      </c>
      <c r="G36" s="59">
        <v>144</v>
      </c>
      <c r="H36" s="59">
        <v>164</v>
      </c>
      <c r="I36" s="59">
        <v>8</v>
      </c>
      <c r="J36" s="59"/>
      <c r="K36" s="61"/>
    </row>
    <row r="37" spans="1:11" x14ac:dyDescent="0.3">
      <c r="A37" s="65" t="s">
        <v>146</v>
      </c>
      <c r="B37" s="66">
        <v>45954</v>
      </c>
      <c r="C37" s="65" t="s">
        <v>67</v>
      </c>
      <c r="D37" s="65">
        <v>8.01</v>
      </c>
      <c r="E37" s="72">
        <v>5.5636574074074074E-2</v>
      </c>
      <c r="F37" s="78">
        <v>6.9444444444444441E-3</v>
      </c>
      <c r="G37" s="65">
        <v>187</v>
      </c>
      <c r="H37" s="65">
        <v>164</v>
      </c>
      <c r="I37" s="65">
        <v>7</v>
      </c>
      <c r="J37" s="65"/>
      <c r="K37" s="67"/>
    </row>
    <row r="38" spans="1:11" x14ac:dyDescent="0.3">
      <c r="A38" s="59" t="s">
        <v>147</v>
      </c>
      <c r="B38" s="60">
        <v>45952</v>
      </c>
      <c r="C38" s="59" t="s">
        <v>79</v>
      </c>
      <c r="D38" s="59">
        <v>4.0599999999999996</v>
      </c>
      <c r="E38" s="73">
        <v>4.1377314814814818E-2</v>
      </c>
      <c r="F38" s="79">
        <v>1.019675925925926E-2</v>
      </c>
      <c r="G38" s="59">
        <v>102</v>
      </c>
      <c r="H38" s="59">
        <v>135</v>
      </c>
      <c r="I38" s="59">
        <v>4</v>
      </c>
      <c r="J38" s="59"/>
      <c r="K38" s="61"/>
    </row>
    <row r="39" spans="1:11" x14ac:dyDescent="0.3">
      <c r="A39" s="65" t="s">
        <v>148</v>
      </c>
      <c r="B39" s="66">
        <v>45952</v>
      </c>
      <c r="C39" s="65" t="s">
        <v>67</v>
      </c>
      <c r="D39" s="65">
        <v>6.21</v>
      </c>
      <c r="E39" s="72">
        <v>4.116898148148148E-2</v>
      </c>
      <c r="F39" s="78">
        <v>6.6203703703703702E-3</v>
      </c>
      <c r="G39" s="65">
        <v>190</v>
      </c>
      <c r="H39" s="65">
        <v>163</v>
      </c>
      <c r="I39" s="65">
        <v>7</v>
      </c>
      <c r="J39" s="65"/>
      <c r="K39" s="67"/>
    </row>
    <row r="40" spans="1:11" x14ac:dyDescent="0.3">
      <c r="A40" s="59" t="s">
        <v>149</v>
      </c>
      <c r="B40" s="60">
        <v>45951</v>
      </c>
      <c r="C40" s="59" t="s">
        <v>67</v>
      </c>
      <c r="D40" s="59">
        <v>6.35</v>
      </c>
      <c r="E40" s="73">
        <v>4.3344907407407408E-2</v>
      </c>
      <c r="F40" s="79">
        <v>6.8171296296296296E-3</v>
      </c>
      <c r="G40" s="59">
        <v>62</v>
      </c>
      <c r="H40" s="59">
        <v>162</v>
      </c>
      <c r="I40" s="59">
        <v>5</v>
      </c>
      <c r="J40" s="59"/>
      <c r="K40" s="61"/>
    </row>
    <row r="41" spans="1:11" x14ac:dyDescent="0.3">
      <c r="A41" s="65" t="s">
        <v>150</v>
      </c>
      <c r="B41" s="66">
        <v>45951</v>
      </c>
      <c r="C41" s="65" t="s">
        <v>79</v>
      </c>
      <c r="D41" s="65">
        <v>3.33</v>
      </c>
      <c r="E41" s="72">
        <v>3.2175925925925927E-2</v>
      </c>
      <c r="F41" s="78">
        <v>9.8032407407407408E-3</v>
      </c>
      <c r="G41" s="65">
        <v>72</v>
      </c>
      <c r="H41" s="65">
        <v>137</v>
      </c>
      <c r="I41" s="65">
        <v>4</v>
      </c>
      <c r="J41" s="65"/>
      <c r="K41" s="67"/>
    </row>
    <row r="42" spans="1:11" x14ac:dyDescent="0.3">
      <c r="A42" s="59" t="s">
        <v>151</v>
      </c>
      <c r="B42" s="60">
        <v>45950</v>
      </c>
      <c r="C42" s="59" t="s">
        <v>66</v>
      </c>
      <c r="D42" s="59"/>
      <c r="E42" s="73"/>
      <c r="F42" s="79"/>
      <c r="G42" s="59"/>
      <c r="H42" s="59">
        <v>107</v>
      </c>
      <c r="I42" s="59">
        <v>4</v>
      </c>
      <c r="J42" s="59"/>
      <c r="K42" s="61"/>
    </row>
    <row r="43" spans="1:11" x14ac:dyDescent="0.3">
      <c r="A43" s="65" t="s">
        <v>153</v>
      </c>
      <c r="B43" s="66">
        <v>45946</v>
      </c>
      <c r="C43" s="65" t="s">
        <v>67</v>
      </c>
      <c r="D43" s="65">
        <v>5.0199999999999996</v>
      </c>
      <c r="E43" s="72">
        <v>3.6377314814814814E-2</v>
      </c>
      <c r="F43" s="78">
        <v>7.2453703703703708E-3</v>
      </c>
      <c r="G43" s="65">
        <v>62</v>
      </c>
      <c r="H43" s="65">
        <v>162</v>
      </c>
      <c r="I43" s="65">
        <v>4</v>
      </c>
      <c r="J43" s="65"/>
      <c r="K43" s="67"/>
    </row>
    <row r="44" spans="1:11" x14ac:dyDescent="0.3">
      <c r="A44" s="59" t="s">
        <v>154</v>
      </c>
      <c r="B44" s="60">
        <v>45945</v>
      </c>
      <c r="C44" s="59" t="s">
        <v>67</v>
      </c>
      <c r="D44" s="59">
        <v>2.5099999999999998</v>
      </c>
      <c r="E44" s="73">
        <v>1.8692129629629628E-2</v>
      </c>
      <c r="F44" s="79">
        <v>7.4305555555555557E-3</v>
      </c>
      <c r="G44" s="59">
        <v>46</v>
      </c>
      <c r="H44" s="59">
        <v>155</v>
      </c>
      <c r="I44" s="59">
        <v>4</v>
      </c>
      <c r="J44" s="59"/>
      <c r="K44" s="61"/>
    </row>
    <row r="45" spans="1:11" x14ac:dyDescent="0.3">
      <c r="A45" s="65" t="s">
        <v>155</v>
      </c>
      <c r="B45" s="66">
        <v>45945</v>
      </c>
      <c r="C45" s="65" t="s">
        <v>67</v>
      </c>
      <c r="D45" s="65">
        <v>5.03</v>
      </c>
      <c r="E45" s="72">
        <v>3.4502314814814812E-2</v>
      </c>
      <c r="F45" s="78">
        <v>6.851851851851852E-3</v>
      </c>
      <c r="G45" s="65">
        <v>39</v>
      </c>
      <c r="H45" s="65">
        <v>170</v>
      </c>
      <c r="I45" s="65">
        <v>5</v>
      </c>
      <c r="J45" s="65"/>
      <c r="K45" s="67"/>
    </row>
    <row r="46" spans="1:11" x14ac:dyDescent="0.3">
      <c r="A46" s="59" t="s">
        <v>156</v>
      </c>
      <c r="B46" s="60">
        <v>45943</v>
      </c>
      <c r="C46" s="59" t="s">
        <v>67</v>
      </c>
      <c r="D46" s="59">
        <v>7.01</v>
      </c>
      <c r="E46" s="73">
        <v>4.7754629629629633E-2</v>
      </c>
      <c r="F46" s="79">
        <v>6.8055555555555551E-3</v>
      </c>
      <c r="G46" s="59">
        <v>92</v>
      </c>
      <c r="H46" s="59">
        <v>183</v>
      </c>
      <c r="I46" s="59">
        <v>8</v>
      </c>
      <c r="J46" s="59"/>
      <c r="K46" s="61"/>
    </row>
    <row r="47" spans="1:11" x14ac:dyDescent="0.3">
      <c r="A47" s="65" t="s">
        <v>157</v>
      </c>
      <c r="B47" s="66">
        <v>45940</v>
      </c>
      <c r="C47" s="65" t="s">
        <v>67</v>
      </c>
      <c r="D47" s="65">
        <v>1</v>
      </c>
      <c r="E47" s="72">
        <v>4.6180555555555558E-3</v>
      </c>
      <c r="F47" s="78">
        <v>4.5833333333333334E-3</v>
      </c>
      <c r="G47" s="65">
        <v>0</v>
      </c>
      <c r="H47" s="65">
        <v>154</v>
      </c>
      <c r="I47" s="65">
        <v>8</v>
      </c>
      <c r="J47" s="65"/>
      <c r="K47" s="67"/>
    </row>
    <row r="48" spans="1:11" x14ac:dyDescent="0.3">
      <c r="A48" s="59" t="s">
        <v>158</v>
      </c>
      <c r="B48" s="60">
        <v>45940</v>
      </c>
      <c r="C48" s="59" t="s">
        <v>79</v>
      </c>
      <c r="D48" s="59">
        <v>1.08</v>
      </c>
      <c r="E48" s="73">
        <v>1.3958333333333333E-2</v>
      </c>
      <c r="F48" s="79">
        <v>1.2858796296296297E-2</v>
      </c>
      <c r="G48" s="59">
        <v>0</v>
      </c>
      <c r="H48" s="59">
        <v>74</v>
      </c>
      <c r="I48" s="59">
        <v>1</v>
      </c>
      <c r="J48" s="59"/>
      <c r="K48" s="61"/>
    </row>
    <row r="49" spans="1:11" x14ac:dyDescent="0.3">
      <c r="A49" s="65" t="s">
        <v>159</v>
      </c>
      <c r="B49" s="66">
        <v>45940</v>
      </c>
      <c r="C49" s="65" t="s">
        <v>67</v>
      </c>
      <c r="D49" s="65">
        <v>2.2599999999999998</v>
      </c>
      <c r="E49" s="72">
        <v>1.6550925925925927E-2</v>
      </c>
      <c r="F49" s="78">
        <v>7.3032407407407404E-3</v>
      </c>
      <c r="G49" s="65">
        <v>66</v>
      </c>
      <c r="H49" s="65">
        <v>151</v>
      </c>
      <c r="I49" s="65">
        <v>7</v>
      </c>
      <c r="J49" s="65"/>
      <c r="K49" s="67"/>
    </row>
    <row r="50" spans="1:11" x14ac:dyDescent="0.3">
      <c r="A50" s="59" t="s">
        <v>160</v>
      </c>
      <c r="B50" s="60">
        <v>45940</v>
      </c>
      <c r="C50" s="59" t="s">
        <v>79</v>
      </c>
      <c r="D50" s="59">
        <v>2.23</v>
      </c>
      <c r="E50" s="73">
        <v>3.3761574074074076E-2</v>
      </c>
      <c r="F50" s="79">
        <v>1.5868055555555555E-2</v>
      </c>
      <c r="G50" s="59">
        <v>174</v>
      </c>
      <c r="H50" s="59">
        <v>97</v>
      </c>
      <c r="I50" s="59">
        <v>4</v>
      </c>
      <c r="J50" s="59"/>
      <c r="K50" s="61"/>
    </row>
    <row r="51" spans="1:11" x14ac:dyDescent="0.3">
      <c r="A51" s="65" t="s">
        <v>161</v>
      </c>
      <c r="B51" s="66">
        <v>45938</v>
      </c>
      <c r="C51" s="65" t="s">
        <v>67</v>
      </c>
      <c r="D51" s="65">
        <v>3</v>
      </c>
      <c r="E51" s="72">
        <v>2.6388888888888889E-2</v>
      </c>
      <c r="F51" s="78">
        <v>8.7847222222222215E-3</v>
      </c>
      <c r="G51" s="65">
        <v>43</v>
      </c>
      <c r="H51" s="65">
        <v>148</v>
      </c>
      <c r="I51" s="65">
        <v>2</v>
      </c>
      <c r="J51" s="65"/>
      <c r="K51" s="67"/>
    </row>
    <row r="52" spans="1:11" x14ac:dyDescent="0.3">
      <c r="A52" s="59" t="s">
        <v>162</v>
      </c>
      <c r="B52" s="60">
        <v>45937</v>
      </c>
      <c r="C52" s="59" t="s">
        <v>67</v>
      </c>
      <c r="D52" s="59">
        <v>10</v>
      </c>
      <c r="E52" s="73">
        <v>7.5057870370370372E-2</v>
      </c>
      <c r="F52" s="79">
        <v>7.4999999999999997E-3</v>
      </c>
      <c r="G52" s="59">
        <v>161</v>
      </c>
      <c r="H52" s="59">
        <v>172</v>
      </c>
      <c r="I52" s="59">
        <v>7</v>
      </c>
      <c r="J52" s="59"/>
      <c r="K52" s="61"/>
    </row>
    <row r="53" spans="1:11" x14ac:dyDescent="0.3">
      <c r="A53" s="65" t="s">
        <v>163</v>
      </c>
      <c r="B53" s="66">
        <v>45936</v>
      </c>
      <c r="C53" s="65" t="s">
        <v>79</v>
      </c>
      <c r="D53" s="65">
        <v>4.57</v>
      </c>
      <c r="E53" s="72">
        <v>5.7511574074074076E-2</v>
      </c>
      <c r="F53" s="78">
        <v>1.275462962962963E-2</v>
      </c>
      <c r="G53" s="65">
        <v>289</v>
      </c>
      <c r="H53" s="65">
        <v>113</v>
      </c>
      <c r="I53" s="65">
        <v>3</v>
      </c>
      <c r="J53" s="65"/>
      <c r="K53" s="67"/>
    </row>
    <row r="54" spans="1:11" x14ac:dyDescent="0.3">
      <c r="A54" s="59" t="s">
        <v>164</v>
      </c>
      <c r="B54" s="60">
        <v>45935</v>
      </c>
      <c r="C54" s="59" t="s">
        <v>67</v>
      </c>
      <c r="D54" s="59">
        <v>10.01</v>
      </c>
      <c r="E54" s="73">
        <v>8.5347222222222227E-2</v>
      </c>
      <c r="F54" s="79">
        <v>8.5300925925925926E-3</v>
      </c>
      <c r="G54" s="59">
        <v>148</v>
      </c>
      <c r="H54" s="59">
        <v>175</v>
      </c>
      <c r="I54" s="59">
        <v>10</v>
      </c>
      <c r="J54" s="59"/>
      <c r="K54" s="61"/>
    </row>
    <row r="55" spans="1:11" x14ac:dyDescent="0.3">
      <c r="A55" s="65" t="s">
        <v>165</v>
      </c>
      <c r="B55" s="66">
        <v>45933</v>
      </c>
      <c r="C55" s="65" t="s">
        <v>67</v>
      </c>
      <c r="D55" s="65">
        <v>3.33</v>
      </c>
      <c r="E55" s="72">
        <v>2.329861111111111E-2</v>
      </c>
      <c r="F55" s="78">
        <v>6.9791666666666665E-3</v>
      </c>
      <c r="G55" s="65">
        <v>49</v>
      </c>
      <c r="H55" s="65">
        <v>168</v>
      </c>
      <c r="I55" s="65">
        <v>6</v>
      </c>
      <c r="J55" s="65"/>
      <c r="K55" s="67"/>
    </row>
    <row r="56" spans="1:11" x14ac:dyDescent="0.3">
      <c r="A56" s="59" t="s">
        <v>166</v>
      </c>
      <c r="B56" s="60">
        <v>45932</v>
      </c>
      <c r="C56" s="59" t="s">
        <v>79</v>
      </c>
      <c r="D56" s="59">
        <v>4.01</v>
      </c>
      <c r="E56" s="73">
        <v>5.2187499999999998E-2</v>
      </c>
      <c r="F56" s="79">
        <v>1.3055555555555556E-2</v>
      </c>
      <c r="G56" s="59">
        <v>56</v>
      </c>
      <c r="H56" s="59">
        <v>120</v>
      </c>
      <c r="I56" s="59">
        <v>2</v>
      </c>
      <c r="J56" s="59"/>
      <c r="K56" s="61"/>
    </row>
    <row r="57" spans="1:11" x14ac:dyDescent="0.3">
      <c r="A57" s="65" t="s">
        <v>167</v>
      </c>
      <c r="B57" s="66">
        <v>45932</v>
      </c>
      <c r="C57" s="65" t="s">
        <v>67</v>
      </c>
      <c r="D57" s="65">
        <v>5.01</v>
      </c>
      <c r="E57" s="72">
        <v>3.3402777777777781E-2</v>
      </c>
      <c r="F57" s="78">
        <v>6.6666666666666671E-3</v>
      </c>
      <c r="G57" s="65">
        <v>33</v>
      </c>
      <c r="H57" s="65">
        <v>179</v>
      </c>
      <c r="I57" s="65">
        <v>7</v>
      </c>
      <c r="J57" s="65"/>
      <c r="K57" s="67"/>
    </row>
    <row r="58" spans="1:11" x14ac:dyDescent="0.3">
      <c r="A58" s="59" t="s">
        <v>168</v>
      </c>
      <c r="B58" s="60">
        <v>45930</v>
      </c>
      <c r="C58" s="59" t="s">
        <v>67</v>
      </c>
      <c r="D58" s="59">
        <v>5.01</v>
      </c>
      <c r="E58" s="73">
        <v>3.619212962962963E-2</v>
      </c>
      <c r="F58" s="79">
        <v>7.2106481481481483E-3</v>
      </c>
      <c r="G58" s="59">
        <v>56</v>
      </c>
      <c r="H58" s="59">
        <v>171</v>
      </c>
      <c r="I58" s="59">
        <v>6</v>
      </c>
      <c r="J58" s="59"/>
      <c r="K58" s="61"/>
    </row>
    <row r="59" spans="1:11" x14ac:dyDescent="0.3">
      <c r="A59" s="65" t="s">
        <v>169</v>
      </c>
      <c r="B59" s="66">
        <v>45929</v>
      </c>
      <c r="C59" s="65" t="s">
        <v>67</v>
      </c>
      <c r="D59" s="65">
        <v>13.21</v>
      </c>
      <c r="E59" s="72">
        <v>9.6539351851851848E-2</v>
      </c>
      <c r="F59" s="78">
        <v>7.3032407407407404E-3</v>
      </c>
      <c r="G59" s="65">
        <v>417</v>
      </c>
      <c r="H59" s="65">
        <v>173</v>
      </c>
      <c r="I59" s="65">
        <v>9</v>
      </c>
      <c r="J59" s="65"/>
      <c r="K59" s="67"/>
    </row>
    <row r="60" spans="1:11" x14ac:dyDescent="0.3">
      <c r="A60" s="59" t="s">
        <v>170</v>
      </c>
      <c r="B60" s="60">
        <v>45926</v>
      </c>
      <c r="C60" s="59" t="s">
        <v>67</v>
      </c>
      <c r="D60" s="59">
        <v>5.01</v>
      </c>
      <c r="E60" s="73">
        <v>3.5717592592592592E-2</v>
      </c>
      <c r="F60" s="79">
        <v>7.1296296296296299E-3</v>
      </c>
      <c r="G60" s="59">
        <v>141</v>
      </c>
      <c r="H60" s="59">
        <v>182</v>
      </c>
      <c r="I60" s="59">
        <v>8</v>
      </c>
      <c r="J60" s="59"/>
      <c r="K60" s="61"/>
    </row>
    <row r="61" spans="1:11" x14ac:dyDescent="0.3">
      <c r="A61" s="65" t="s">
        <v>171</v>
      </c>
      <c r="B61" s="66">
        <v>45918</v>
      </c>
      <c r="C61" s="65" t="s">
        <v>67</v>
      </c>
      <c r="D61" s="65">
        <v>2.0099999999999998</v>
      </c>
      <c r="E61" s="72">
        <v>1.2731481481481481E-2</v>
      </c>
      <c r="F61" s="78">
        <v>6.3194444444444444E-3</v>
      </c>
      <c r="G61" s="65">
        <v>272</v>
      </c>
      <c r="H61" s="65">
        <v>180</v>
      </c>
      <c r="I61" s="65">
        <v>7</v>
      </c>
      <c r="J61" s="65"/>
      <c r="K61" s="67"/>
    </row>
    <row r="62" spans="1:11" x14ac:dyDescent="0.3">
      <c r="A62" s="59" t="s">
        <v>172</v>
      </c>
      <c r="B62" s="60">
        <v>45917</v>
      </c>
      <c r="C62" s="59" t="s">
        <v>67</v>
      </c>
      <c r="D62" s="59">
        <v>5.01</v>
      </c>
      <c r="E62" s="73">
        <v>3.3194444444444443E-2</v>
      </c>
      <c r="F62" s="79">
        <v>6.6203703703703702E-3</v>
      </c>
      <c r="G62" s="59">
        <v>75</v>
      </c>
      <c r="H62" s="59">
        <v>174</v>
      </c>
      <c r="I62" s="59">
        <v>6</v>
      </c>
      <c r="J62" s="59"/>
      <c r="K62" s="61"/>
    </row>
    <row r="63" spans="1:11" x14ac:dyDescent="0.3">
      <c r="A63" s="65" t="s">
        <v>173</v>
      </c>
      <c r="B63" s="66">
        <v>45913</v>
      </c>
      <c r="C63" s="65" t="s">
        <v>67</v>
      </c>
      <c r="D63" s="65">
        <v>2.0099999999999998</v>
      </c>
      <c r="E63" s="72">
        <v>1.4999999999999999E-2</v>
      </c>
      <c r="F63" s="78">
        <v>7.4421296296296293E-3</v>
      </c>
      <c r="G63" s="65">
        <v>184</v>
      </c>
      <c r="H63" s="65">
        <v>175</v>
      </c>
      <c r="I63" s="65">
        <v>4</v>
      </c>
      <c r="J63" s="65"/>
      <c r="K63" s="67"/>
    </row>
    <row r="64" spans="1:11" x14ac:dyDescent="0.3">
      <c r="A64" s="59" t="s">
        <v>174</v>
      </c>
      <c r="B64" s="60">
        <v>45913</v>
      </c>
      <c r="C64" s="59" t="s">
        <v>67</v>
      </c>
      <c r="D64" s="59">
        <v>1.01</v>
      </c>
      <c r="E64" s="73">
        <v>5.5787037037037038E-3</v>
      </c>
      <c r="F64" s="79">
        <v>5.4861111111111109E-3</v>
      </c>
      <c r="G64" s="59">
        <v>13</v>
      </c>
      <c r="H64" s="59">
        <v>171</v>
      </c>
      <c r="I64" s="59">
        <v>8</v>
      </c>
      <c r="J64" s="59"/>
      <c r="K64" s="61"/>
    </row>
    <row r="65" spans="1:11" x14ac:dyDescent="0.3">
      <c r="A65" s="65" t="s">
        <v>175</v>
      </c>
      <c r="B65" s="66">
        <v>45911</v>
      </c>
      <c r="C65" s="65" t="s">
        <v>67</v>
      </c>
      <c r="D65" s="65">
        <v>3.18</v>
      </c>
      <c r="E65" s="72">
        <v>2.0914351851851851E-2</v>
      </c>
      <c r="F65" s="78">
        <v>6.5624999999999998E-3</v>
      </c>
      <c r="G65" s="65">
        <v>85</v>
      </c>
      <c r="H65" s="65">
        <v>166</v>
      </c>
      <c r="I65" s="65">
        <v>5</v>
      </c>
      <c r="J65" s="65"/>
      <c r="K65" s="67"/>
    </row>
    <row r="66" spans="1:11" x14ac:dyDescent="0.3">
      <c r="A66" s="59" t="s">
        <v>176</v>
      </c>
      <c r="B66" s="60">
        <v>45910</v>
      </c>
      <c r="C66" s="59" t="s">
        <v>67</v>
      </c>
      <c r="D66" s="59">
        <v>3.15</v>
      </c>
      <c r="E66" s="73">
        <v>2.2314814814814815E-2</v>
      </c>
      <c r="F66" s="79">
        <v>7.083333333333333E-3</v>
      </c>
      <c r="G66" s="59">
        <v>62</v>
      </c>
      <c r="H66" s="59">
        <v>171</v>
      </c>
      <c r="I66" s="59">
        <v>4</v>
      </c>
      <c r="J66" s="59"/>
      <c r="K66" s="61"/>
    </row>
    <row r="67" spans="1:11" x14ac:dyDescent="0.3">
      <c r="A67" s="65" t="s">
        <v>177</v>
      </c>
      <c r="B67" s="66">
        <v>45909</v>
      </c>
      <c r="C67" s="65" t="s">
        <v>67</v>
      </c>
      <c r="D67" s="65">
        <v>8.01</v>
      </c>
      <c r="E67" s="72">
        <v>5.6909722222222223E-2</v>
      </c>
      <c r="F67" s="78">
        <v>7.0949074074074074E-3</v>
      </c>
      <c r="G67" s="65">
        <v>112</v>
      </c>
      <c r="H67" s="65">
        <v>180</v>
      </c>
      <c r="I67" s="65">
        <v>8</v>
      </c>
      <c r="J67" s="65"/>
      <c r="K67" s="67"/>
    </row>
    <row r="68" spans="1:11" x14ac:dyDescent="0.3">
      <c r="A68" s="59" t="s">
        <v>178</v>
      </c>
      <c r="B68" s="60">
        <v>45906</v>
      </c>
      <c r="C68" s="59" t="s">
        <v>67</v>
      </c>
      <c r="D68" s="59">
        <v>4.01</v>
      </c>
      <c r="E68" s="73">
        <v>2.8634259259259259E-2</v>
      </c>
      <c r="F68" s="79">
        <v>7.1412037037037034E-3</v>
      </c>
      <c r="G68" s="59">
        <v>69</v>
      </c>
      <c r="H68" s="59">
        <v>179</v>
      </c>
      <c r="I68" s="59">
        <v>7</v>
      </c>
      <c r="J68" s="59"/>
      <c r="K68" s="61"/>
    </row>
    <row r="69" spans="1:11" x14ac:dyDescent="0.3">
      <c r="A69" s="65" t="s">
        <v>179</v>
      </c>
      <c r="B69" s="66">
        <v>45905</v>
      </c>
      <c r="C69" s="65" t="s">
        <v>67</v>
      </c>
      <c r="D69" s="65">
        <v>3.18</v>
      </c>
      <c r="E69" s="72">
        <v>2.1296296296296296E-2</v>
      </c>
      <c r="F69" s="78">
        <v>6.6782407407407407E-3</v>
      </c>
      <c r="G69" s="65">
        <v>39</v>
      </c>
      <c r="H69" s="65">
        <v>182</v>
      </c>
      <c r="I69" s="65">
        <v>6</v>
      </c>
      <c r="J69" s="65"/>
      <c r="K69" s="67"/>
    </row>
    <row r="70" spans="1:11" x14ac:dyDescent="0.3">
      <c r="A70" s="59" t="s">
        <v>180</v>
      </c>
      <c r="B70" s="60">
        <v>45902</v>
      </c>
      <c r="C70" s="59" t="s">
        <v>79</v>
      </c>
      <c r="D70" s="59">
        <v>1.8</v>
      </c>
      <c r="E70" s="73">
        <v>2.7789351851851853E-2</v>
      </c>
      <c r="F70" s="79">
        <v>1.5428240740740741E-2</v>
      </c>
      <c r="G70" s="59">
        <v>10</v>
      </c>
      <c r="H70" s="59">
        <v>124</v>
      </c>
      <c r="I70" s="59">
        <v>1</v>
      </c>
      <c r="J70" s="59"/>
      <c r="K70" s="61"/>
    </row>
    <row r="71" spans="1:11" x14ac:dyDescent="0.3">
      <c r="A71" s="65" t="s">
        <v>181</v>
      </c>
      <c r="B71" s="66">
        <v>45902</v>
      </c>
      <c r="C71" s="65" t="s">
        <v>67</v>
      </c>
      <c r="D71" s="65">
        <v>1.03</v>
      </c>
      <c r="E71" s="72">
        <v>6.3310185185185188E-3</v>
      </c>
      <c r="F71" s="78">
        <v>6.1342592592592594E-3</v>
      </c>
      <c r="G71" s="65">
        <v>3</v>
      </c>
      <c r="H71" s="65">
        <v>172</v>
      </c>
      <c r="I71" s="65">
        <v>8</v>
      </c>
      <c r="J71" s="65"/>
      <c r="K71" s="67"/>
    </row>
    <row r="72" spans="1:11" x14ac:dyDescent="0.3">
      <c r="A72" s="59" t="s">
        <v>182</v>
      </c>
      <c r="B72" s="60">
        <v>45900</v>
      </c>
      <c r="C72" s="59" t="s">
        <v>67</v>
      </c>
      <c r="D72" s="59">
        <v>2.0099999999999998</v>
      </c>
      <c r="E72" s="73">
        <v>1.3425925925925926E-2</v>
      </c>
      <c r="F72" s="79">
        <v>6.6550925925925927E-3</v>
      </c>
      <c r="G72" s="59">
        <v>75</v>
      </c>
      <c r="H72" s="59">
        <v>169</v>
      </c>
      <c r="I72" s="59">
        <v>4</v>
      </c>
      <c r="J72" s="59"/>
      <c r="K72" s="61"/>
    </row>
    <row r="73" spans="1:11" x14ac:dyDescent="0.3">
      <c r="A73" s="14"/>
      <c r="B73" s="14"/>
      <c r="C73" s="14"/>
      <c r="D73" s="14"/>
      <c r="E73" s="74"/>
      <c r="F73" s="80"/>
      <c r="G73" s="14"/>
      <c r="H73" s="14"/>
      <c r="I73" s="14"/>
      <c r="J73" s="14"/>
      <c r="K73" s="15"/>
    </row>
    <row r="74" spans="1:11" x14ac:dyDescent="0.3">
      <c r="A74" s="14"/>
      <c r="B74" s="14"/>
      <c r="C74" s="14"/>
      <c r="D74" s="14"/>
      <c r="E74" s="74"/>
      <c r="F74" s="80"/>
      <c r="G74" s="14"/>
      <c r="H74" s="14"/>
      <c r="I74" s="14"/>
      <c r="J74" s="14"/>
      <c r="K74" s="15"/>
    </row>
    <row r="75" spans="1:11" x14ac:dyDescent="0.3">
      <c r="A75" s="14"/>
      <c r="B75" s="14"/>
      <c r="C75" s="14"/>
      <c r="D75" s="14"/>
      <c r="E75" s="74"/>
      <c r="F75" s="80"/>
      <c r="G75" s="14"/>
      <c r="H75" s="14"/>
      <c r="I75" s="14"/>
      <c r="J75" s="14"/>
      <c r="K75" s="15"/>
    </row>
    <row r="76" spans="1:11" x14ac:dyDescent="0.3">
      <c r="A76" s="14"/>
      <c r="B76" s="14"/>
      <c r="C76" s="14"/>
      <c r="D76" s="14"/>
      <c r="E76" s="74"/>
      <c r="F76" s="80"/>
      <c r="G76" s="14"/>
      <c r="H76" s="14"/>
      <c r="I76" s="14"/>
      <c r="J76" s="14"/>
      <c r="K76" s="15"/>
    </row>
    <row r="77" spans="1:11" x14ac:dyDescent="0.3">
      <c r="A77" s="14"/>
      <c r="B77" s="14"/>
      <c r="C77" s="14"/>
      <c r="D77" s="14"/>
      <c r="E77" s="74"/>
      <c r="F77" s="80"/>
      <c r="G77" s="14"/>
      <c r="H77" s="14"/>
      <c r="I77" s="14"/>
      <c r="J77" s="14"/>
      <c r="K77" s="15"/>
    </row>
    <row r="78" spans="1:11" x14ac:dyDescent="0.3">
      <c r="A78" s="14"/>
      <c r="B78" s="14"/>
      <c r="C78" s="14"/>
      <c r="D78" s="14"/>
      <c r="E78" s="74"/>
      <c r="F78" s="80"/>
      <c r="G78" s="14"/>
      <c r="H78" s="14"/>
      <c r="I78" s="14"/>
      <c r="J78" s="14"/>
      <c r="K78" s="15"/>
    </row>
    <row r="79" spans="1:11" x14ac:dyDescent="0.3">
      <c r="A79" s="14"/>
      <c r="B79" s="14"/>
      <c r="C79" s="14"/>
      <c r="D79" s="14"/>
      <c r="E79" s="74"/>
      <c r="F79" s="80"/>
      <c r="G79" s="14"/>
      <c r="H79" s="14"/>
      <c r="I79" s="14"/>
      <c r="J79" s="14"/>
      <c r="K79" s="15"/>
    </row>
    <row r="80" spans="1:11" x14ac:dyDescent="0.3">
      <c r="A80" s="14"/>
      <c r="B80" s="14"/>
      <c r="C80" s="14"/>
      <c r="D80" s="14"/>
      <c r="E80" s="74"/>
      <c r="F80" s="80"/>
      <c r="G80" s="14"/>
      <c r="H80" s="14"/>
      <c r="I80" s="14"/>
      <c r="J80" s="14"/>
      <c r="K80" s="15"/>
    </row>
    <row r="81" spans="1:11" x14ac:dyDescent="0.3">
      <c r="A81" s="14"/>
      <c r="B81" s="14"/>
      <c r="C81" s="14"/>
      <c r="D81" s="14"/>
      <c r="E81" s="74"/>
      <c r="F81" s="80"/>
      <c r="G81" s="14"/>
      <c r="H81" s="14"/>
      <c r="I81" s="14"/>
      <c r="J81" s="14"/>
      <c r="K81" s="15"/>
    </row>
    <row r="82" spans="1:11" x14ac:dyDescent="0.3">
      <c r="A82" s="14"/>
      <c r="B82" s="14"/>
      <c r="C82" s="14"/>
      <c r="D82" s="14"/>
      <c r="E82" s="74"/>
      <c r="F82" s="80"/>
      <c r="G82" s="14"/>
      <c r="H82" s="14"/>
      <c r="I82" s="14"/>
      <c r="J82" s="14"/>
      <c r="K82" s="15"/>
    </row>
    <row r="83" spans="1:11" x14ac:dyDescent="0.3">
      <c r="A83" s="14"/>
      <c r="B83" s="14"/>
      <c r="C83" s="14"/>
      <c r="D83" s="14"/>
      <c r="E83" s="74"/>
      <c r="F83" s="80"/>
      <c r="G83" s="14"/>
      <c r="H83" s="14"/>
      <c r="I83" s="14"/>
      <c r="J83" s="14"/>
      <c r="K83" s="15"/>
    </row>
    <row r="84" spans="1:11" x14ac:dyDescent="0.3">
      <c r="A84" s="14"/>
      <c r="B84" s="14"/>
      <c r="C84" s="14"/>
      <c r="D84" s="14"/>
      <c r="E84" s="74"/>
      <c r="F84" s="80"/>
      <c r="G84" s="14"/>
      <c r="H84" s="14"/>
      <c r="I84" s="14"/>
      <c r="J84" s="14"/>
      <c r="K84" s="15"/>
    </row>
    <row r="85" spans="1:11" x14ac:dyDescent="0.3">
      <c r="A85" s="14"/>
      <c r="B85" s="14"/>
      <c r="C85" s="14"/>
      <c r="D85" s="14"/>
      <c r="E85" s="74"/>
      <c r="F85" s="80"/>
      <c r="G85" s="14"/>
      <c r="H85" s="14"/>
      <c r="I85" s="14"/>
      <c r="J85" s="14"/>
      <c r="K85" s="15"/>
    </row>
    <row r="86" spans="1:11" x14ac:dyDescent="0.3">
      <c r="A86" s="14"/>
      <c r="B86" s="14"/>
      <c r="C86" s="14"/>
      <c r="D86" s="14"/>
      <c r="E86" s="74"/>
      <c r="F86" s="80"/>
      <c r="G86" s="14"/>
      <c r="H86" s="14"/>
      <c r="I86" s="14"/>
      <c r="J86" s="14"/>
      <c r="K86" s="15"/>
    </row>
    <row r="87" spans="1:11" x14ac:dyDescent="0.3">
      <c r="A87" s="14"/>
      <c r="B87" s="14"/>
      <c r="C87" s="14"/>
      <c r="D87" s="14"/>
      <c r="E87" s="74"/>
      <c r="F87" s="80"/>
      <c r="G87" s="14"/>
      <c r="H87" s="14"/>
      <c r="I87" s="14"/>
      <c r="J87" s="14"/>
      <c r="K87" s="15"/>
    </row>
    <row r="88" spans="1:11" x14ac:dyDescent="0.3">
      <c r="A88" s="14"/>
      <c r="B88" s="14"/>
      <c r="C88" s="14"/>
      <c r="D88" s="14"/>
      <c r="E88" s="74"/>
      <c r="F88" s="80"/>
      <c r="G88" s="14"/>
      <c r="H88" s="14"/>
      <c r="I88" s="14"/>
      <c r="J88" s="14"/>
      <c r="K88" s="15"/>
    </row>
    <row r="89" spans="1:11" x14ac:dyDescent="0.3">
      <c r="A89" s="14"/>
      <c r="B89" s="14"/>
      <c r="C89" s="14"/>
      <c r="D89" s="14"/>
      <c r="E89" s="74"/>
      <c r="F89" s="80"/>
      <c r="G89" s="14"/>
      <c r="H89" s="14"/>
      <c r="I89" s="14"/>
      <c r="J89" s="14"/>
      <c r="K89" s="15"/>
    </row>
    <row r="90" spans="1:11" x14ac:dyDescent="0.3">
      <c r="A90" s="14"/>
      <c r="B90" s="14"/>
      <c r="C90" s="14"/>
      <c r="D90" s="14"/>
      <c r="E90" s="74"/>
      <c r="F90" s="80"/>
      <c r="G90" s="14"/>
      <c r="H90" s="14"/>
      <c r="I90" s="14"/>
      <c r="J90" s="14"/>
      <c r="K90" s="15"/>
    </row>
    <row r="91" spans="1:11" x14ac:dyDescent="0.3">
      <c r="A91" s="14"/>
      <c r="B91" s="14"/>
      <c r="C91" s="14"/>
      <c r="D91" s="14"/>
      <c r="E91" s="74"/>
      <c r="F91" s="80"/>
      <c r="G91" s="14"/>
      <c r="H91" s="14"/>
      <c r="I91" s="14"/>
      <c r="J91" s="14"/>
      <c r="K91" s="15"/>
    </row>
    <row r="92" spans="1:11" x14ac:dyDescent="0.3">
      <c r="A92" s="14"/>
      <c r="B92" s="14"/>
      <c r="C92" s="14"/>
      <c r="D92" s="14"/>
      <c r="E92" s="74"/>
      <c r="F92" s="80"/>
      <c r="G92" s="14"/>
      <c r="H92" s="14"/>
      <c r="I92" s="14"/>
      <c r="J92" s="14"/>
      <c r="K92" s="15"/>
    </row>
    <row r="93" spans="1:11" x14ac:dyDescent="0.3">
      <c r="A93" s="14"/>
      <c r="B93" s="14"/>
      <c r="C93" s="14"/>
      <c r="D93" s="14"/>
      <c r="E93" s="74"/>
      <c r="F93" s="80"/>
      <c r="G93" s="14"/>
      <c r="H93" s="14"/>
      <c r="I93" s="14"/>
      <c r="J93" s="14"/>
      <c r="K93" s="15"/>
    </row>
    <row r="94" spans="1:11" x14ac:dyDescent="0.3">
      <c r="A94" s="14"/>
      <c r="B94" s="14"/>
      <c r="C94" s="14"/>
      <c r="D94" s="14"/>
      <c r="E94" s="74"/>
      <c r="F94" s="80"/>
      <c r="G94" s="14"/>
      <c r="H94" s="14"/>
      <c r="I94" s="14"/>
      <c r="J94" s="14"/>
      <c r="K94" s="15"/>
    </row>
    <row r="95" spans="1:11" x14ac:dyDescent="0.3">
      <c r="A95" s="14"/>
      <c r="B95" s="14"/>
      <c r="C95" s="14"/>
      <c r="D95" s="14"/>
      <c r="E95" s="74"/>
      <c r="F95" s="80"/>
      <c r="G95" s="14"/>
      <c r="H95" s="14"/>
      <c r="I95" s="14"/>
      <c r="J95" s="14"/>
      <c r="K95" s="15"/>
    </row>
    <row r="96" spans="1:11" x14ac:dyDescent="0.3">
      <c r="A96" s="14"/>
      <c r="B96" s="14"/>
      <c r="C96" s="14"/>
      <c r="D96" s="14"/>
      <c r="E96" s="74"/>
      <c r="F96" s="80"/>
      <c r="G96" s="14"/>
      <c r="H96" s="14"/>
      <c r="I96" s="14"/>
      <c r="J96" s="14"/>
      <c r="K96" s="15"/>
    </row>
    <row r="97" spans="1:11" x14ac:dyDescent="0.3">
      <c r="A97" s="14"/>
      <c r="B97" s="14"/>
      <c r="C97" s="14"/>
      <c r="D97" s="14"/>
      <c r="E97" s="74"/>
      <c r="F97" s="80"/>
      <c r="G97" s="14"/>
      <c r="H97" s="14"/>
      <c r="I97" s="14"/>
      <c r="J97" s="14"/>
      <c r="K97" s="15"/>
    </row>
    <row r="98" spans="1:11" x14ac:dyDescent="0.3">
      <c r="A98" s="14"/>
      <c r="B98" s="14"/>
      <c r="C98" s="14"/>
      <c r="D98" s="14"/>
      <c r="E98" s="74"/>
      <c r="F98" s="80"/>
      <c r="G98" s="14"/>
      <c r="H98" s="14"/>
      <c r="I98" s="14"/>
      <c r="J98" s="14"/>
      <c r="K98" s="15"/>
    </row>
    <row r="99" spans="1:11" x14ac:dyDescent="0.3">
      <c r="A99" s="14"/>
      <c r="B99" s="14"/>
      <c r="C99" s="14"/>
      <c r="D99" s="14"/>
      <c r="E99" s="74"/>
      <c r="F99" s="80"/>
      <c r="G99" s="14"/>
      <c r="H99" s="14"/>
      <c r="I99" s="14"/>
      <c r="J99" s="14"/>
      <c r="K99" s="15"/>
    </row>
    <row r="100" spans="1:11" x14ac:dyDescent="0.3">
      <c r="A100" s="14"/>
      <c r="B100" s="14"/>
      <c r="C100" s="14"/>
      <c r="D100" s="14"/>
      <c r="E100" s="74"/>
      <c r="F100" s="80"/>
      <c r="G100" s="14"/>
      <c r="H100" s="14"/>
      <c r="I100" s="14"/>
      <c r="J100" s="14"/>
      <c r="K100" s="15"/>
    </row>
    <row r="101" spans="1:11" x14ac:dyDescent="0.3">
      <c r="A101" s="14"/>
      <c r="B101" s="14"/>
      <c r="C101" s="14"/>
      <c r="D101" s="14"/>
      <c r="E101" s="74"/>
      <c r="F101" s="80"/>
      <c r="G101" s="14"/>
      <c r="H101" s="14"/>
      <c r="I101" s="14"/>
      <c r="J101" s="14"/>
      <c r="K101" s="15"/>
    </row>
    <row r="102" spans="1:11" x14ac:dyDescent="0.3">
      <c r="A102" s="14"/>
      <c r="B102" s="14"/>
      <c r="C102" s="14"/>
      <c r="D102" s="14"/>
      <c r="E102" s="74"/>
      <c r="F102" s="80"/>
      <c r="G102" s="14"/>
      <c r="H102" s="14"/>
      <c r="I102" s="14"/>
      <c r="J102" s="14"/>
      <c r="K102" s="15"/>
    </row>
    <row r="103" spans="1:11" x14ac:dyDescent="0.3">
      <c r="A103" s="14"/>
      <c r="B103" s="14"/>
      <c r="C103" s="14"/>
      <c r="D103" s="14"/>
      <c r="E103" s="74"/>
      <c r="F103" s="80"/>
      <c r="G103" s="14"/>
      <c r="H103" s="14"/>
      <c r="I103" s="14"/>
      <c r="J103" s="14"/>
      <c r="K103" s="15"/>
    </row>
    <row r="104" spans="1:11" x14ac:dyDescent="0.3">
      <c r="A104" s="14"/>
      <c r="B104" s="14"/>
      <c r="C104" s="14"/>
      <c r="D104" s="14"/>
      <c r="E104" s="74"/>
      <c r="F104" s="80"/>
      <c r="G104" s="14"/>
      <c r="H104" s="14"/>
      <c r="I104" s="14"/>
      <c r="J104" s="14"/>
      <c r="K104" s="15"/>
    </row>
    <row r="105" spans="1:11" x14ac:dyDescent="0.3">
      <c r="A105" s="16"/>
      <c r="B105" s="16"/>
      <c r="C105" s="16"/>
      <c r="D105" s="16"/>
      <c r="E105" s="75"/>
      <c r="F105" s="81"/>
      <c r="G105" s="16"/>
      <c r="H105" s="16"/>
      <c r="I105" s="16"/>
      <c r="J105" s="16"/>
      <c r="K105" s="17"/>
    </row>
  </sheetData>
  <sortState xmlns:xlrd2="http://schemas.microsoft.com/office/spreadsheetml/2017/richdata2" ref="A12:K72">
    <sortCondition descending="1" ref="B12"/>
  </sortState>
  <mergeCells count="1">
    <mergeCell ref="A2:C2"/>
  </mergeCells>
  <conditionalFormatting sqref="A12:K105">
    <cfRule type="expression" dxfId="7" priority="2">
      <formula>MOD(ROW(),2)=0</formula>
    </cfRule>
  </conditionalFormatting>
  <dataValidations count="3">
    <dataValidation type="list" allowBlank="1" showInputMessage="1" showErrorMessage="1" promptTitle="Select Activity Type" prompt="Add more to the data validation list if needed (comma-seperated, found in &quot;Data&quot; &gt; &quot;Data Validation&quot; &gt; &quot;Settings&quot;)." sqref="C4" xr:uid="{D411E2C5-187B-42C2-AEF2-7CFB718F49A2}">
      <formula1>"Run, Walk, Hike, Bike, Weight Training, Yoga, Swimming, Other"</formula1>
    </dataValidation>
    <dataValidation type="list" allowBlank="1" showInputMessage="1" showErrorMessage="1" sqref="C8" xr:uid="{61DC2160-7DA6-457F-AF52-77A111DB92F2}">
      <formula1>$A$11:$K$11</formula1>
    </dataValidation>
    <dataValidation type="list" allowBlank="1" showInputMessage="1" showErrorMessage="1" sqref="C9" xr:uid="{D79D23AA-C568-436D-9D0F-079AB893DD9D}">
      <formula1>"Ascending, Descending"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4" r:id="rId3" name="Button 8">
              <controlPr defaultSize="0" print="0" autoFill="0" autoPict="0" macro="[0]!AddActivity.AddActivity">
                <anchor moveWithCells="1" sizeWithCells="1">
                  <from>
                    <xdr:col>0</xdr:col>
                    <xdr:colOff>68580</xdr:colOff>
                    <xdr:row>5</xdr:row>
                    <xdr:rowOff>30480</xdr:rowOff>
                  </from>
                  <to>
                    <xdr:col>0</xdr:col>
                    <xdr:colOff>2171700</xdr:colOff>
                    <xdr:row>5</xdr:row>
                    <xdr:rowOff>198120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028B0-ABE1-4C1A-8FB8-E0E0FE337CAC}">
  <sheetPr codeName="Sheet5"/>
  <dimension ref="A1:J100"/>
  <sheetViews>
    <sheetView workbookViewId="0">
      <selection activeCell="G5" sqref="G5:J5"/>
    </sheetView>
  </sheetViews>
  <sheetFormatPr defaultColWidth="9.109375" defaultRowHeight="14.4" x14ac:dyDescent="0.3"/>
  <cols>
    <col min="1" max="1" width="9.88671875" style="1" customWidth="1"/>
    <col min="2" max="2" width="23.109375" style="1" bestFit="1" customWidth="1"/>
    <col min="3" max="3" width="22.109375" style="1" customWidth="1"/>
    <col min="4" max="4" width="8.6640625" style="1" customWidth="1"/>
    <col min="5" max="5" width="9.109375" style="1"/>
    <col min="6" max="6" width="21.6640625" style="1" customWidth="1"/>
    <col min="7" max="7" width="30.6640625" style="1" customWidth="1"/>
    <col min="8" max="8" width="23.6640625" style="1" customWidth="1"/>
    <col min="9" max="9" width="21" style="1" bestFit="1" customWidth="1"/>
    <col min="10" max="10" width="47" style="1" customWidth="1"/>
    <col min="11" max="16384" width="9.109375" style="1"/>
  </cols>
  <sheetData>
    <row r="1" spans="1:10" ht="28.5" customHeight="1" x14ac:dyDescent="0.3">
      <c r="A1" s="175" t="s">
        <v>58</v>
      </c>
      <c r="B1" s="175"/>
      <c r="C1" s="175"/>
      <c r="D1" s="175"/>
      <c r="E1" s="175"/>
      <c r="F1" s="175"/>
      <c r="G1" s="175"/>
      <c r="H1" s="175"/>
      <c r="I1" s="175"/>
      <c r="J1" s="175"/>
    </row>
    <row r="3" spans="1:10" ht="21" x14ac:dyDescent="0.35">
      <c r="A3" s="174" t="s">
        <v>44</v>
      </c>
      <c r="B3" s="174"/>
      <c r="C3" s="174"/>
      <c r="D3" s="174"/>
      <c r="E3" s="174"/>
      <c r="F3" s="24"/>
      <c r="G3" s="174" t="s">
        <v>49</v>
      </c>
      <c r="H3" s="174"/>
      <c r="I3" s="174"/>
      <c r="J3" s="174"/>
    </row>
    <row r="4" spans="1:10" ht="17.25" thickBot="1" x14ac:dyDescent="0.35">
      <c r="B4" s="8" t="s">
        <v>35</v>
      </c>
      <c r="C4" s="10"/>
      <c r="D4" s="9"/>
      <c r="G4" s="21" t="s">
        <v>46</v>
      </c>
      <c r="H4" s="22" t="s">
        <v>47</v>
      </c>
      <c r="I4" s="22" t="s">
        <v>48</v>
      </c>
      <c r="J4" s="23" t="s">
        <v>19</v>
      </c>
    </row>
    <row r="5" spans="1:10" ht="16.5" x14ac:dyDescent="0.3">
      <c r="B5" s="5" t="s">
        <v>36</v>
      </c>
      <c r="C5" s="6">
        <v>1</v>
      </c>
      <c r="D5" s="7"/>
      <c r="J5" s="4"/>
    </row>
    <row r="6" spans="1:10" ht="16.5" x14ac:dyDescent="0.3">
      <c r="B6" s="5" t="s">
        <v>37</v>
      </c>
      <c r="C6" s="6"/>
      <c r="D6" s="7"/>
      <c r="J6" s="4"/>
    </row>
    <row r="7" spans="1:10" ht="16.5" x14ac:dyDescent="0.3">
      <c r="B7" s="5" t="s">
        <v>38</v>
      </c>
      <c r="C7" s="6"/>
      <c r="D7" s="7"/>
      <c r="J7" s="4"/>
    </row>
    <row r="8" spans="1:10" ht="16.5" x14ac:dyDescent="0.3">
      <c r="B8" s="5" t="s">
        <v>39</v>
      </c>
      <c r="C8" s="6"/>
      <c r="D8" s="7"/>
      <c r="J8" s="4"/>
    </row>
    <row r="9" spans="1:10" ht="16.5" x14ac:dyDescent="0.3">
      <c r="B9" s="5" t="s">
        <v>40</v>
      </c>
      <c r="C9" s="6"/>
      <c r="D9" s="7"/>
      <c r="J9" s="4"/>
    </row>
    <row r="10" spans="1:10" ht="16.5" x14ac:dyDescent="0.3">
      <c r="B10" s="5" t="s">
        <v>41</v>
      </c>
      <c r="C10" s="6"/>
      <c r="D10" s="7"/>
      <c r="J10" s="4"/>
    </row>
    <row r="11" spans="1:10" ht="16.5" x14ac:dyDescent="0.3">
      <c r="B11" s="5" t="s">
        <v>42</v>
      </c>
      <c r="C11" s="6"/>
      <c r="D11" s="7"/>
      <c r="J11" s="4"/>
    </row>
    <row r="12" spans="1:10" ht="16.5" x14ac:dyDescent="0.3">
      <c r="B12" s="5" t="s">
        <v>43</v>
      </c>
      <c r="C12" s="6"/>
      <c r="D12" s="7"/>
      <c r="J12" s="4"/>
    </row>
    <row r="13" spans="1:10" ht="16.5" x14ac:dyDescent="0.3">
      <c r="J13" s="4"/>
    </row>
    <row r="14" spans="1:10" ht="22.2" x14ac:dyDescent="0.45">
      <c r="A14" s="174" t="s">
        <v>45</v>
      </c>
      <c r="B14" s="174"/>
      <c r="C14" s="174"/>
      <c r="D14" s="174"/>
      <c r="E14" s="174"/>
      <c r="J14" s="4"/>
    </row>
    <row r="15" spans="1:10" x14ac:dyDescent="0.3">
      <c r="B15" s="8" t="s">
        <v>35</v>
      </c>
      <c r="C15" s="10"/>
      <c r="D15" s="9"/>
      <c r="J15" s="4"/>
    </row>
    <row r="16" spans="1:10" x14ac:dyDescent="0.3">
      <c r="B16" s="5" t="s">
        <v>36</v>
      </c>
      <c r="C16" s="6">
        <v>2</v>
      </c>
      <c r="D16" s="7"/>
      <c r="J16" s="4"/>
    </row>
    <row r="17" spans="2:10" x14ac:dyDescent="0.3">
      <c r="B17" s="5" t="s">
        <v>37</v>
      </c>
      <c r="C17" s="6"/>
      <c r="D17" s="7"/>
      <c r="J17" s="4"/>
    </row>
    <row r="18" spans="2:10" x14ac:dyDescent="0.3">
      <c r="B18" s="5" t="s">
        <v>38</v>
      </c>
      <c r="C18" s="6"/>
      <c r="D18" s="7"/>
      <c r="J18" s="4"/>
    </row>
    <row r="19" spans="2:10" x14ac:dyDescent="0.3">
      <c r="B19" s="5" t="s">
        <v>39</v>
      </c>
      <c r="C19" s="6"/>
      <c r="D19" s="7"/>
      <c r="J19" s="4"/>
    </row>
    <row r="20" spans="2:10" x14ac:dyDescent="0.3">
      <c r="B20" s="5" t="s">
        <v>40</v>
      </c>
      <c r="C20" s="6"/>
      <c r="D20" s="7"/>
      <c r="J20" s="4"/>
    </row>
    <row r="21" spans="2:10" x14ac:dyDescent="0.3">
      <c r="B21" s="5" t="s">
        <v>41</v>
      </c>
      <c r="C21" s="6"/>
      <c r="D21" s="7"/>
      <c r="J21" s="4"/>
    </row>
    <row r="22" spans="2:10" x14ac:dyDescent="0.3">
      <c r="B22" s="5" t="s">
        <v>42</v>
      </c>
      <c r="C22" s="6"/>
      <c r="D22" s="7"/>
      <c r="J22" s="4"/>
    </row>
    <row r="23" spans="2:10" x14ac:dyDescent="0.3">
      <c r="B23" s="5" t="s">
        <v>43</v>
      </c>
      <c r="C23" s="6"/>
      <c r="D23" s="7"/>
      <c r="J23" s="4"/>
    </row>
    <row r="24" spans="2:10" x14ac:dyDescent="0.3">
      <c r="J24" s="4"/>
    </row>
    <row r="25" spans="2:10" x14ac:dyDescent="0.3">
      <c r="B25" s="8" t="s">
        <v>35</v>
      </c>
      <c r="C25" s="10"/>
      <c r="D25" s="9"/>
      <c r="J25" s="4"/>
    </row>
    <row r="26" spans="2:10" x14ac:dyDescent="0.3">
      <c r="B26" s="5" t="s">
        <v>36</v>
      </c>
      <c r="C26" s="6">
        <v>3</v>
      </c>
      <c r="D26" s="7"/>
      <c r="J26" s="4"/>
    </row>
    <row r="27" spans="2:10" x14ac:dyDescent="0.3">
      <c r="B27" s="5" t="s">
        <v>37</v>
      </c>
      <c r="C27" s="6"/>
      <c r="D27" s="7"/>
      <c r="J27" s="4"/>
    </row>
    <row r="28" spans="2:10" x14ac:dyDescent="0.3">
      <c r="B28" s="5" t="s">
        <v>38</v>
      </c>
      <c r="C28" s="6"/>
      <c r="D28" s="7"/>
      <c r="J28" s="4"/>
    </row>
    <row r="29" spans="2:10" x14ac:dyDescent="0.3">
      <c r="B29" s="5" t="s">
        <v>39</v>
      </c>
      <c r="C29" s="6"/>
      <c r="D29" s="7"/>
      <c r="J29" s="4"/>
    </row>
    <row r="30" spans="2:10" x14ac:dyDescent="0.3">
      <c r="B30" s="5" t="s">
        <v>40</v>
      </c>
      <c r="C30" s="6"/>
      <c r="D30" s="7"/>
      <c r="J30" s="4"/>
    </row>
    <row r="31" spans="2:10" x14ac:dyDescent="0.3">
      <c r="B31" s="5" t="s">
        <v>41</v>
      </c>
      <c r="C31" s="6"/>
      <c r="D31" s="7"/>
      <c r="J31" s="4"/>
    </row>
    <row r="32" spans="2:10" x14ac:dyDescent="0.3">
      <c r="B32" s="5" t="s">
        <v>42</v>
      </c>
      <c r="C32" s="6"/>
      <c r="D32" s="7"/>
      <c r="J32" s="4"/>
    </row>
    <row r="33" spans="2:10" x14ac:dyDescent="0.3">
      <c r="B33" s="5" t="s">
        <v>43</v>
      </c>
      <c r="C33" s="6"/>
      <c r="D33" s="7"/>
      <c r="J33" s="4"/>
    </row>
    <row r="34" spans="2:10" x14ac:dyDescent="0.3">
      <c r="J34" s="4"/>
    </row>
    <row r="35" spans="2:10" x14ac:dyDescent="0.3">
      <c r="B35" s="8" t="s">
        <v>35</v>
      </c>
      <c r="C35" s="10"/>
      <c r="D35" s="9"/>
      <c r="J35" s="4"/>
    </row>
    <row r="36" spans="2:10" x14ac:dyDescent="0.3">
      <c r="B36" s="5" t="s">
        <v>36</v>
      </c>
      <c r="C36" s="6">
        <v>4</v>
      </c>
      <c r="D36" s="7"/>
      <c r="J36" s="4"/>
    </row>
    <row r="37" spans="2:10" x14ac:dyDescent="0.3">
      <c r="B37" s="5" t="s">
        <v>37</v>
      </c>
      <c r="C37" s="6"/>
      <c r="D37" s="7"/>
      <c r="J37" s="4"/>
    </row>
    <row r="38" spans="2:10" x14ac:dyDescent="0.3">
      <c r="B38" s="5" t="s">
        <v>38</v>
      </c>
      <c r="C38" s="6"/>
      <c r="D38" s="7"/>
      <c r="J38" s="4"/>
    </row>
    <row r="39" spans="2:10" x14ac:dyDescent="0.3">
      <c r="B39" s="5" t="s">
        <v>39</v>
      </c>
      <c r="C39" s="6"/>
      <c r="D39" s="7"/>
      <c r="J39" s="4"/>
    </row>
    <row r="40" spans="2:10" x14ac:dyDescent="0.3">
      <c r="B40" s="5" t="s">
        <v>40</v>
      </c>
      <c r="C40" s="6"/>
      <c r="D40" s="7"/>
      <c r="J40" s="4"/>
    </row>
    <row r="41" spans="2:10" x14ac:dyDescent="0.3">
      <c r="B41" s="5" t="s">
        <v>41</v>
      </c>
      <c r="C41" s="6"/>
      <c r="D41" s="7"/>
      <c r="J41" s="4"/>
    </row>
    <row r="42" spans="2:10" x14ac:dyDescent="0.3">
      <c r="B42" s="5" t="s">
        <v>42</v>
      </c>
      <c r="C42" s="6"/>
      <c r="D42" s="7"/>
      <c r="J42" s="4"/>
    </row>
    <row r="43" spans="2:10" x14ac:dyDescent="0.3">
      <c r="B43" s="5" t="s">
        <v>43</v>
      </c>
      <c r="C43" s="6"/>
      <c r="D43" s="7"/>
      <c r="J43" s="4"/>
    </row>
    <row r="44" spans="2:10" x14ac:dyDescent="0.3">
      <c r="J44" s="4"/>
    </row>
    <row r="45" spans="2:10" x14ac:dyDescent="0.3">
      <c r="B45" s="8" t="s">
        <v>35</v>
      </c>
      <c r="C45" s="10"/>
      <c r="D45" s="9"/>
      <c r="J45" s="4"/>
    </row>
    <row r="46" spans="2:10" x14ac:dyDescent="0.3">
      <c r="B46" s="5" t="s">
        <v>36</v>
      </c>
      <c r="C46" s="6">
        <v>5</v>
      </c>
      <c r="D46" s="7"/>
      <c r="J46" s="4"/>
    </row>
    <row r="47" spans="2:10" x14ac:dyDescent="0.3">
      <c r="B47" s="5" t="s">
        <v>37</v>
      </c>
      <c r="C47" s="6"/>
      <c r="D47" s="7"/>
      <c r="J47" s="4"/>
    </row>
    <row r="48" spans="2:10" x14ac:dyDescent="0.3">
      <c r="B48" s="5" t="s">
        <v>38</v>
      </c>
      <c r="C48" s="6"/>
      <c r="D48" s="7"/>
      <c r="J48" s="4"/>
    </row>
    <row r="49" spans="2:10" x14ac:dyDescent="0.3">
      <c r="B49" s="5" t="s">
        <v>39</v>
      </c>
      <c r="C49" s="6"/>
      <c r="D49" s="7"/>
      <c r="J49" s="4"/>
    </row>
    <row r="50" spans="2:10" x14ac:dyDescent="0.3">
      <c r="B50" s="5" t="s">
        <v>40</v>
      </c>
      <c r="C50" s="6"/>
      <c r="D50" s="7"/>
      <c r="J50" s="4"/>
    </row>
    <row r="51" spans="2:10" x14ac:dyDescent="0.3">
      <c r="B51" s="5" t="s">
        <v>41</v>
      </c>
      <c r="C51" s="6"/>
      <c r="D51" s="7"/>
      <c r="J51" s="4"/>
    </row>
    <row r="52" spans="2:10" x14ac:dyDescent="0.3">
      <c r="B52" s="5" t="s">
        <v>42</v>
      </c>
      <c r="C52" s="6"/>
      <c r="D52" s="7"/>
      <c r="J52" s="4"/>
    </row>
    <row r="53" spans="2:10" x14ac:dyDescent="0.3">
      <c r="B53" s="5" t="s">
        <v>43</v>
      </c>
      <c r="C53" s="6"/>
      <c r="D53" s="7"/>
      <c r="J53" s="4"/>
    </row>
    <row r="54" spans="2:10" x14ac:dyDescent="0.3">
      <c r="J54" s="4"/>
    </row>
    <row r="55" spans="2:10" x14ac:dyDescent="0.3">
      <c r="J55" s="4"/>
    </row>
    <row r="56" spans="2:10" x14ac:dyDescent="0.3">
      <c r="J56" s="4"/>
    </row>
    <row r="57" spans="2:10" x14ac:dyDescent="0.3">
      <c r="J57" s="4"/>
    </row>
    <row r="58" spans="2:10" x14ac:dyDescent="0.3">
      <c r="J58" s="4"/>
    </row>
    <row r="59" spans="2:10" x14ac:dyDescent="0.3">
      <c r="J59" s="4"/>
    </row>
    <row r="60" spans="2:10" x14ac:dyDescent="0.3">
      <c r="J60" s="4"/>
    </row>
    <row r="61" spans="2:10" x14ac:dyDescent="0.3">
      <c r="J61" s="4"/>
    </row>
    <row r="62" spans="2:10" x14ac:dyDescent="0.3">
      <c r="J62" s="4"/>
    </row>
    <row r="63" spans="2:10" x14ac:dyDescent="0.3">
      <c r="J63" s="4"/>
    </row>
    <row r="64" spans="2:10" x14ac:dyDescent="0.3">
      <c r="J64" s="4"/>
    </row>
    <row r="65" spans="10:10" x14ac:dyDescent="0.3">
      <c r="J65" s="4"/>
    </row>
    <row r="66" spans="10:10" x14ac:dyDescent="0.3">
      <c r="J66" s="4"/>
    </row>
    <row r="67" spans="10:10" x14ac:dyDescent="0.3">
      <c r="J67" s="4"/>
    </row>
    <row r="68" spans="10:10" x14ac:dyDescent="0.3">
      <c r="J68" s="4"/>
    </row>
    <row r="69" spans="10:10" x14ac:dyDescent="0.3">
      <c r="J69" s="4"/>
    </row>
    <row r="70" spans="10:10" x14ac:dyDescent="0.3">
      <c r="J70" s="4"/>
    </row>
    <row r="71" spans="10:10" x14ac:dyDescent="0.3">
      <c r="J71" s="4"/>
    </row>
    <row r="72" spans="10:10" x14ac:dyDescent="0.3">
      <c r="J72" s="4"/>
    </row>
    <row r="73" spans="10:10" x14ac:dyDescent="0.3">
      <c r="J73" s="4"/>
    </row>
    <row r="74" spans="10:10" x14ac:dyDescent="0.3">
      <c r="J74" s="4"/>
    </row>
    <row r="75" spans="10:10" x14ac:dyDescent="0.3">
      <c r="J75" s="4"/>
    </row>
    <row r="76" spans="10:10" x14ac:dyDescent="0.3">
      <c r="J76" s="4"/>
    </row>
    <row r="77" spans="10:10" x14ac:dyDescent="0.3">
      <c r="J77" s="4"/>
    </row>
    <row r="78" spans="10:10" x14ac:dyDescent="0.3">
      <c r="J78" s="4"/>
    </row>
    <row r="79" spans="10:10" x14ac:dyDescent="0.3">
      <c r="J79" s="4"/>
    </row>
    <row r="80" spans="10:10" x14ac:dyDescent="0.3">
      <c r="J80" s="4"/>
    </row>
    <row r="81" spans="10:10" x14ac:dyDescent="0.3">
      <c r="J81" s="4"/>
    </row>
    <row r="82" spans="10:10" x14ac:dyDescent="0.3">
      <c r="J82" s="4"/>
    </row>
    <row r="83" spans="10:10" x14ac:dyDescent="0.3">
      <c r="J83" s="4"/>
    </row>
    <row r="84" spans="10:10" x14ac:dyDescent="0.3">
      <c r="J84" s="4"/>
    </row>
    <row r="85" spans="10:10" x14ac:dyDescent="0.3">
      <c r="J85" s="4"/>
    </row>
    <row r="86" spans="10:10" x14ac:dyDescent="0.3">
      <c r="J86" s="4"/>
    </row>
    <row r="87" spans="10:10" x14ac:dyDescent="0.3">
      <c r="J87" s="4"/>
    </row>
    <row r="88" spans="10:10" x14ac:dyDescent="0.3">
      <c r="J88" s="4"/>
    </row>
    <row r="89" spans="10:10" x14ac:dyDescent="0.3">
      <c r="J89" s="4"/>
    </row>
    <row r="90" spans="10:10" x14ac:dyDescent="0.3">
      <c r="J90" s="4"/>
    </row>
    <row r="91" spans="10:10" x14ac:dyDescent="0.3">
      <c r="J91" s="4"/>
    </row>
    <row r="92" spans="10:10" x14ac:dyDescent="0.3">
      <c r="J92" s="4"/>
    </row>
    <row r="93" spans="10:10" x14ac:dyDescent="0.3">
      <c r="J93" s="4"/>
    </row>
    <row r="94" spans="10:10" x14ac:dyDescent="0.3">
      <c r="J94" s="4"/>
    </row>
    <row r="95" spans="10:10" x14ac:dyDescent="0.3">
      <c r="J95" s="4"/>
    </row>
    <row r="96" spans="10:10" x14ac:dyDescent="0.3">
      <c r="J96" s="4"/>
    </row>
    <row r="97" spans="10:10" x14ac:dyDescent="0.3">
      <c r="J97" s="4"/>
    </row>
    <row r="98" spans="10:10" x14ac:dyDescent="0.3">
      <c r="J98" s="4"/>
    </row>
    <row r="99" spans="10:10" x14ac:dyDescent="0.3">
      <c r="J99" s="4"/>
    </row>
    <row r="100" spans="10:10" x14ac:dyDescent="0.3">
      <c r="J100" s="4"/>
    </row>
  </sheetData>
  <mergeCells count="4">
    <mergeCell ref="G3:J3"/>
    <mergeCell ref="A1:J1"/>
    <mergeCell ref="A3:E3"/>
    <mergeCell ref="A14:E14"/>
  </mergeCells>
  <dataValidations count="1">
    <dataValidation type="list" allowBlank="1" showInputMessage="1" showErrorMessage="1" promptTitle="Select Goal Type" prompt="Add more to the data validation list if needed (comma-seperated, found in &quot;Data&quot; &gt; &quot;Data Validation&quot; &gt; &quot;Settings&quot;)." sqref="C6" xr:uid="{DB710EE9-23B1-4A93-B477-EC1860DD440D}">
      <formula1>"PR, Distance, Time, Pace, Other"</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B655B-2594-496A-B643-0CE97FD35C2D}">
  <sheetPr codeName="Sheet6"/>
  <dimension ref="A1:W70"/>
  <sheetViews>
    <sheetView zoomScale="60" zoomScaleNormal="60" workbookViewId="0">
      <selection activeCell="N28" sqref="N28"/>
    </sheetView>
  </sheetViews>
  <sheetFormatPr defaultColWidth="9.109375" defaultRowHeight="14.4" x14ac:dyDescent="0.3"/>
  <cols>
    <col min="1" max="10" width="9.109375" style="3"/>
    <col min="11" max="11" width="54.5546875" style="3" customWidth="1"/>
    <col min="12" max="12" width="9.109375" style="3" customWidth="1"/>
    <col min="13" max="13" width="82" style="3" customWidth="1"/>
    <col min="14" max="14" width="79.33203125" style="3" customWidth="1"/>
    <col min="15" max="15" width="9.109375" style="3"/>
    <col min="16" max="16" width="83.88671875" style="3" customWidth="1"/>
    <col min="17" max="17" width="75.109375" style="3" customWidth="1"/>
    <col min="18" max="18" width="15" style="3" customWidth="1"/>
    <col min="19" max="19" width="17.6640625" style="3" bestFit="1" customWidth="1"/>
    <col min="20" max="20" width="14" style="3" bestFit="1" customWidth="1"/>
    <col min="21" max="21" width="13.33203125" style="3" bestFit="1" customWidth="1"/>
    <col min="22" max="22" width="21.109375" style="3" bestFit="1" customWidth="1"/>
    <col min="23" max="16384" width="9.109375" style="3"/>
  </cols>
  <sheetData>
    <row r="1" spans="1:23" ht="28.8" x14ac:dyDescent="0.3">
      <c r="A1" s="97"/>
      <c r="B1" s="175" t="s">
        <v>58</v>
      </c>
      <c r="C1" s="175"/>
      <c r="D1" s="175"/>
      <c r="E1" s="175"/>
      <c r="F1" s="175"/>
      <c r="G1" s="175"/>
      <c r="H1" s="175"/>
      <c r="I1" s="175"/>
      <c r="J1" s="175"/>
      <c r="K1" s="175"/>
      <c r="L1" s="98"/>
      <c r="M1" s="96"/>
      <c r="N1" s="96"/>
      <c r="O1" s="96"/>
      <c r="P1" s="96"/>
      <c r="R1" s="82" t="s">
        <v>69</v>
      </c>
      <c r="S1" s="82" t="s">
        <v>70</v>
      </c>
      <c r="T1" s="82" t="s">
        <v>71</v>
      </c>
      <c r="V1" s="85" t="s">
        <v>77</v>
      </c>
      <c r="W1" s="85" t="s">
        <v>78</v>
      </c>
    </row>
    <row r="2" spans="1:23" x14ac:dyDescent="0.3">
      <c r="A2" s="97"/>
      <c r="B2" s="96"/>
      <c r="C2" s="96"/>
      <c r="D2" s="96"/>
      <c r="E2" s="96"/>
      <c r="F2" s="96"/>
      <c r="G2" s="96"/>
      <c r="H2" s="96"/>
      <c r="I2" s="97"/>
      <c r="J2" s="96"/>
      <c r="K2" s="96"/>
      <c r="L2" s="98"/>
      <c r="M2" s="96"/>
      <c r="N2" s="96"/>
      <c r="O2" s="96"/>
      <c r="P2" s="96"/>
      <c r="R2" s="83">
        <f ca="1">TODAY()-7*(ROW()-2)</f>
        <v>45996</v>
      </c>
      <c r="S2" s="84">
        <f ca="1">SUMIFS(DATA!$D:$D, DATA!$B:$B, "&gt;="&amp;R2-6, DATA!$B:$B, "&lt;="&amp;R2, DATA!$C:$C, "Run")</f>
        <v>8.32</v>
      </c>
      <c r="T2" s="84" t="str">
        <f ca="1">TEXT(R2, "mmm dd")</f>
        <v>Dec 05</v>
      </c>
      <c r="V2" s="86" t="s">
        <v>67</v>
      </c>
      <c r="W2" s="86">
        <f>IF(COUNTIF(DATA!$C:$C,V2)=0, NA(), COUNTIF(DATA!$C:$C,V2))</f>
        <v>47</v>
      </c>
    </row>
    <row r="3" spans="1:23" x14ac:dyDescent="0.3">
      <c r="A3" s="97"/>
      <c r="B3" s="96"/>
      <c r="C3" s="96"/>
      <c r="D3" s="96"/>
      <c r="E3" s="96"/>
      <c r="F3" s="96"/>
      <c r="G3" s="96"/>
      <c r="H3" s="96"/>
      <c r="I3" s="97"/>
      <c r="J3" s="96"/>
      <c r="K3" s="96"/>
      <c r="L3" s="98"/>
      <c r="M3" s="96"/>
      <c r="N3" s="96"/>
      <c r="O3" s="96"/>
      <c r="P3" s="96"/>
      <c r="R3" s="83">
        <f t="shared" ref="R3:R13" ca="1" si="0">TODAY()-7*(ROW()-2)</f>
        <v>45989</v>
      </c>
      <c r="S3" s="84">
        <f ca="1">SUMIFS(DATA!$D:$D, DATA!$B:$B, "&gt;="&amp;R3-6, DATA!$B:$B, "&lt;="&amp;R3, DATA!$C:$C, "Run")</f>
        <v>22.45</v>
      </c>
      <c r="T3" s="84" t="str">
        <f t="shared" ref="T3:T13" ca="1" si="1">TEXT(R3, "mmm dd")</f>
        <v>Nov 28</v>
      </c>
      <c r="V3" s="86" t="s">
        <v>79</v>
      </c>
      <c r="W3" s="86">
        <f>IF(COUNTIF(DATA!$C:$C,V3)=0, NA(), COUNTIF(DATA!$C:$C,V3))</f>
        <v>13</v>
      </c>
    </row>
    <row r="4" spans="1:23" x14ac:dyDescent="0.3">
      <c r="A4" s="97"/>
      <c r="B4" s="96"/>
      <c r="C4" s="96"/>
      <c r="D4" s="96"/>
      <c r="E4" s="96"/>
      <c r="F4" s="96"/>
      <c r="G4" s="96"/>
      <c r="H4" s="96"/>
      <c r="I4" s="97"/>
      <c r="J4" s="96"/>
      <c r="K4" s="96"/>
      <c r="L4" s="98"/>
      <c r="M4" s="96"/>
      <c r="N4" s="96"/>
      <c r="O4" s="96"/>
      <c r="P4" s="96"/>
      <c r="R4" s="83">
        <f t="shared" ca="1" si="0"/>
        <v>45982</v>
      </c>
      <c r="S4" s="84">
        <f ca="1">SUMIFS(DATA!$D:$D, DATA!$B:$B, "&gt;="&amp;R4-6, DATA!$B:$B, "&lt;="&amp;R4, DATA!$C:$C, "Run")</f>
        <v>0</v>
      </c>
      <c r="T4" s="84" t="str">
        <f t="shared" ca="1" si="1"/>
        <v>Nov 21</v>
      </c>
      <c r="V4" s="86" t="s">
        <v>80</v>
      </c>
      <c r="W4" s="86" t="e">
        <f>IF(COUNTIF(DATA!$C:$C,V4)=0, NA(), COUNTIF(DATA!$C:$C,V4))</f>
        <v>#N/A</v>
      </c>
    </row>
    <row r="5" spans="1:23" x14ac:dyDescent="0.3">
      <c r="A5" s="97"/>
      <c r="B5" s="96"/>
      <c r="C5" s="96"/>
      <c r="D5" s="96"/>
      <c r="E5" s="96"/>
      <c r="F5" s="96"/>
      <c r="G5" s="96"/>
      <c r="H5" s="96"/>
      <c r="I5" s="97"/>
      <c r="J5" s="96"/>
      <c r="K5" s="96"/>
      <c r="L5" s="98"/>
      <c r="M5" s="96"/>
      <c r="N5" s="96"/>
      <c r="O5" s="96"/>
      <c r="P5" s="96"/>
      <c r="R5" s="83">
        <f t="shared" ca="1" si="0"/>
        <v>45975</v>
      </c>
      <c r="S5" s="84">
        <f ca="1">SUMIFS(DATA!$D:$D, DATA!$B:$B, "&gt;="&amp;R5-6, DATA!$B:$B, "&lt;="&amp;R5, DATA!$C:$C, "Run")</f>
        <v>33.799999999999997</v>
      </c>
      <c r="T5" s="84" t="str">
        <f t="shared" ca="1" si="1"/>
        <v>Nov 14</v>
      </c>
      <c r="V5" s="86" t="s">
        <v>81</v>
      </c>
      <c r="W5" s="86" t="e">
        <f>IF(COUNTIF(DATA!$C:$C,V5)=0, NA(), COUNTIF(DATA!$C:$C,V5))</f>
        <v>#N/A</v>
      </c>
    </row>
    <row r="6" spans="1:23" x14ac:dyDescent="0.3">
      <c r="A6" s="97"/>
      <c r="B6" s="96"/>
      <c r="C6" s="96"/>
      <c r="D6" s="96"/>
      <c r="E6" s="96"/>
      <c r="F6" s="96"/>
      <c r="G6" s="96"/>
      <c r="H6" s="96"/>
      <c r="I6" s="97"/>
      <c r="J6" s="96"/>
      <c r="K6" s="96"/>
      <c r="L6" s="98"/>
      <c r="M6" s="96"/>
      <c r="N6" s="96"/>
      <c r="O6" s="96"/>
      <c r="P6" s="96"/>
      <c r="R6" s="83">
        <f t="shared" ca="1" si="0"/>
        <v>45968</v>
      </c>
      <c r="S6" s="84">
        <f ca="1">SUMIFS(DATA!$D:$D, DATA!$B:$B, "&gt;="&amp;R6-6, DATA!$B:$B, "&lt;="&amp;R6, DATA!$C:$C, "Run")</f>
        <v>7.02</v>
      </c>
      <c r="T6" s="84" t="str">
        <f t="shared" ca="1" si="1"/>
        <v>Nov 07</v>
      </c>
      <c r="V6" s="86" t="s">
        <v>66</v>
      </c>
      <c r="W6" s="86">
        <f>IF(COUNTIF(DATA!$C:$C,V6)=0, NA(), COUNTIF(DATA!$C:$C,V6))</f>
        <v>1</v>
      </c>
    </row>
    <row r="7" spans="1:23" x14ac:dyDescent="0.3">
      <c r="A7" s="97"/>
      <c r="B7" s="96"/>
      <c r="C7" s="96"/>
      <c r="D7" s="96"/>
      <c r="E7" s="96"/>
      <c r="F7" s="96"/>
      <c r="G7" s="96"/>
      <c r="H7" s="96"/>
      <c r="I7" s="97"/>
      <c r="J7" s="96"/>
      <c r="K7" s="96"/>
      <c r="L7" s="98"/>
      <c r="M7" s="96"/>
      <c r="N7" s="96"/>
      <c r="O7" s="96"/>
      <c r="P7" s="96"/>
      <c r="R7" s="83">
        <f t="shared" ca="1" si="0"/>
        <v>45961</v>
      </c>
      <c r="S7" s="84">
        <f ca="1">SUMIFS(DATA!$D:$D, DATA!$B:$B, "&gt;="&amp;R7-6, DATA!$B:$B, "&lt;="&amp;R7, DATA!$C:$C, "Run")</f>
        <v>41.64</v>
      </c>
      <c r="T7" s="84" t="str">
        <f t="shared" ca="1" si="1"/>
        <v>Oct 31</v>
      </c>
      <c r="V7" s="86" t="s">
        <v>82</v>
      </c>
      <c r="W7" s="86" t="e">
        <f>IF(COUNTIF(DATA!$C:$C,V7)=0, NA(), COUNTIF(DATA!$C:$C,V7))</f>
        <v>#N/A</v>
      </c>
    </row>
    <row r="8" spans="1:23" x14ac:dyDescent="0.3">
      <c r="A8" s="97"/>
      <c r="B8" s="96"/>
      <c r="C8" s="96"/>
      <c r="D8" s="96"/>
      <c r="E8" s="96"/>
      <c r="F8" s="96"/>
      <c r="G8" s="96"/>
      <c r="H8" s="96"/>
      <c r="I8" s="97"/>
      <c r="J8" s="96"/>
      <c r="K8" s="96"/>
      <c r="L8" s="98"/>
      <c r="M8" s="96"/>
      <c r="N8" s="96"/>
      <c r="O8" s="96"/>
      <c r="P8" s="96"/>
      <c r="R8" s="83">
        <f t="shared" ca="1" si="0"/>
        <v>45954</v>
      </c>
      <c r="S8" s="84">
        <f ca="1">SUMIFS(DATA!$D:$D, DATA!$B:$B, "&gt;="&amp;R8-6, DATA!$B:$B, "&lt;="&amp;R8, DATA!$C:$C, "Run")</f>
        <v>20.57</v>
      </c>
      <c r="T8" s="84" t="str">
        <f t="shared" ca="1" si="1"/>
        <v>Oct 24</v>
      </c>
      <c r="V8" s="86" t="s">
        <v>83</v>
      </c>
      <c r="W8" s="86" t="e">
        <f>IF(COUNTIF(DATA!$C:$C,V8)=0, NA(), COUNTIF(DATA!$C:$C,V8))</f>
        <v>#N/A</v>
      </c>
    </row>
    <row r="9" spans="1:23" x14ac:dyDescent="0.3">
      <c r="A9" s="97"/>
      <c r="B9" s="96"/>
      <c r="C9" s="96"/>
      <c r="D9" s="96"/>
      <c r="E9" s="96"/>
      <c r="F9" s="96"/>
      <c r="G9" s="96"/>
      <c r="H9" s="96"/>
      <c r="I9" s="97"/>
      <c r="J9" s="96"/>
      <c r="K9" s="96"/>
      <c r="L9" s="98"/>
      <c r="M9" s="96"/>
      <c r="N9" s="96"/>
      <c r="O9" s="96"/>
      <c r="P9" s="96"/>
      <c r="R9" s="83">
        <f t="shared" ca="1" si="0"/>
        <v>45947</v>
      </c>
      <c r="S9" s="84">
        <f ca="1">SUMIFS(DATA!$D:$D, DATA!$B:$B, "&gt;="&amp;R9-6, DATA!$B:$B, "&lt;="&amp;R9, DATA!$C:$C, "Run")</f>
        <v>19.57</v>
      </c>
      <c r="T9" s="84" t="str">
        <f t="shared" ca="1" si="1"/>
        <v>Oct 17</v>
      </c>
      <c r="V9" s="86" t="s">
        <v>84</v>
      </c>
      <c r="W9" s="86" t="e">
        <f>IF(COUNTIF(DATA!$C:$C,V9)=0, NA(), COUNTIF(DATA!$C:$C,V9))</f>
        <v>#N/A</v>
      </c>
    </row>
    <row r="10" spans="1:23" x14ac:dyDescent="0.3">
      <c r="A10" s="97"/>
      <c r="B10" s="96"/>
      <c r="C10" s="96"/>
      <c r="D10" s="96"/>
      <c r="E10" s="96"/>
      <c r="F10" s="96"/>
      <c r="G10" s="96"/>
      <c r="H10" s="96"/>
      <c r="I10" s="97"/>
      <c r="J10" s="96"/>
      <c r="K10" s="96"/>
      <c r="L10" s="98"/>
      <c r="M10" s="96"/>
      <c r="N10" s="96"/>
      <c r="O10" s="96"/>
      <c r="P10" s="96"/>
      <c r="R10" s="83">
        <f t="shared" ca="1" si="0"/>
        <v>45940</v>
      </c>
      <c r="S10" s="84">
        <f ca="1">SUMIFS(DATA!$D:$D, DATA!$B:$B, "&gt;="&amp;R10-6, DATA!$B:$B, "&lt;="&amp;R10, DATA!$C:$C, "Run")</f>
        <v>26.269999999999996</v>
      </c>
      <c r="T10" s="84" t="str">
        <f t="shared" ca="1" si="1"/>
        <v>Oct 10</v>
      </c>
    </row>
    <row r="11" spans="1:23" x14ac:dyDescent="0.3">
      <c r="A11" s="97"/>
      <c r="B11" s="96"/>
      <c r="C11" s="96"/>
      <c r="D11" s="96"/>
      <c r="E11" s="96"/>
      <c r="F11" s="96"/>
      <c r="G11" s="96"/>
      <c r="H11" s="96"/>
      <c r="I11" s="97"/>
      <c r="J11" s="96"/>
      <c r="K11" s="96"/>
      <c r="L11" s="98"/>
      <c r="M11" s="96"/>
      <c r="N11" s="96"/>
      <c r="O11" s="96"/>
      <c r="P11" s="96"/>
      <c r="R11" s="83">
        <f t="shared" ca="1" si="0"/>
        <v>45933</v>
      </c>
      <c r="S11" s="84">
        <f ca="1">SUMIFS(DATA!$D:$D, DATA!$B:$B, "&gt;="&amp;R11-6, DATA!$B:$B, "&lt;="&amp;R11, DATA!$C:$C, "Run")</f>
        <v>26.560000000000002</v>
      </c>
      <c r="T11" s="84" t="str">
        <f t="shared" ca="1" si="1"/>
        <v>Oct 03</v>
      </c>
    </row>
    <row r="12" spans="1:23" x14ac:dyDescent="0.3">
      <c r="A12" s="97"/>
      <c r="B12" s="96"/>
      <c r="C12" s="96"/>
      <c r="D12" s="96"/>
      <c r="E12" s="96"/>
      <c r="F12" s="96"/>
      <c r="G12" s="96"/>
      <c r="H12" s="96"/>
      <c r="I12" s="97"/>
      <c r="J12" s="96"/>
      <c r="K12" s="96"/>
      <c r="L12" s="98"/>
      <c r="M12" s="96"/>
      <c r="N12" s="96"/>
      <c r="O12" s="96"/>
      <c r="P12" s="96"/>
      <c r="R12" s="83">
        <f t="shared" ca="1" si="0"/>
        <v>45926</v>
      </c>
      <c r="S12" s="84">
        <f ca="1">SUMIFS(DATA!$D:$D, DATA!$B:$B, "&gt;="&amp;R12-6, DATA!$B:$B, "&lt;="&amp;R12, DATA!$C:$C, "Run")</f>
        <v>5.01</v>
      </c>
      <c r="T12" s="84" t="str">
        <f t="shared" ca="1" si="1"/>
        <v>Sep 26</v>
      </c>
    </row>
    <row r="13" spans="1:23" x14ac:dyDescent="0.3">
      <c r="A13" s="97"/>
      <c r="B13" s="96"/>
      <c r="C13" s="96"/>
      <c r="D13" s="96"/>
      <c r="E13" s="96"/>
      <c r="F13" s="96"/>
      <c r="G13" s="96"/>
      <c r="H13" s="96"/>
      <c r="I13" s="97"/>
      <c r="J13" s="96"/>
      <c r="K13" s="96"/>
      <c r="L13" s="98"/>
      <c r="M13" s="96"/>
      <c r="N13" s="96"/>
      <c r="O13" s="96"/>
      <c r="P13" s="96"/>
      <c r="R13" s="83">
        <f t="shared" ca="1" si="0"/>
        <v>45919</v>
      </c>
      <c r="S13" s="84">
        <f ca="1">SUMIFS(DATA!$D:$D, DATA!$B:$B, "&gt;="&amp;R13-6, DATA!$B:$B, "&lt;="&amp;R13, DATA!$C:$C, "Run")</f>
        <v>10.039999999999999</v>
      </c>
      <c r="T13" s="84" t="str">
        <f t="shared" ca="1" si="1"/>
        <v>Sep 19</v>
      </c>
    </row>
    <row r="14" spans="1:23" x14ac:dyDescent="0.3">
      <c r="A14" s="97"/>
      <c r="B14" s="96"/>
      <c r="C14" s="96"/>
      <c r="D14" s="96"/>
      <c r="E14" s="96"/>
      <c r="F14" s="96"/>
      <c r="G14" s="96"/>
      <c r="H14" s="96"/>
      <c r="I14" s="97"/>
      <c r="J14" s="96"/>
      <c r="K14" s="96"/>
      <c r="L14" s="98"/>
      <c r="M14" s="96"/>
      <c r="N14" s="96"/>
      <c r="O14" s="96"/>
      <c r="P14" s="96"/>
    </row>
    <row r="15" spans="1:23" x14ac:dyDescent="0.3">
      <c r="A15" s="97"/>
      <c r="B15" s="96"/>
      <c r="C15" s="96"/>
      <c r="D15" s="96"/>
      <c r="E15" s="96"/>
      <c r="F15" s="96"/>
      <c r="G15" s="96"/>
      <c r="H15" s="96"/>
      <c r="I15" s="97"/>
      <c r="J15" s="96"/>
      <c r="K15" s="96"/>
      <c r="L15" s="98"/>
      <c r="M15" s="96"/>
      <c r="N15" s="96"/>
      <c r="O15" s="96"/>
      <c r="P15" s="96"/>
    </row>
    <row r="16" spans="1:23" x14ac:dyDescent="0.3">
      <c r="A16" s="97"/>
      <c r="B16" s="96"/>
      <c r="C16" s="96"/>
      <c r="D16" s="96"/>
      <c r="E16" s="96"/>
      <c r="F16" s="96"/>
      <c r="G16" s="96"/>
      <c r="H16" s="96"/>
      <c r="I16" s="97"/>
      <c r="J16" s="96"/>
      <c r="K16" s="96"/>
      <c r="L16" s="98"/>
      <c r="M16" s="96"/>
      <c r="N16" s="96"/>
      <c r="O16" s="96"/>
      <c r="P16" s="96"/>
      <c r="R16" s="85" t="s">
        <v>27</v>
      </c>
      <c r="S16" s="90" t="s">
        <v>85</v>
      </c>
      <c r="T16" s="94"/>
      <c r="U16" s="92" t="s">
        <v>88</v>
      </c>
      <c r="V16" s="85" t="s">
        <v>89</v>
      </c>
    </row>
    <row r="17" spans="1:22" x14ac:dyDescent="0.3">
      <c r="A17" s="97"/>
      <c r="B17" s="96"/>
      <c r="C17" s="96"/>
      <c r="D17" s="96"/>
      <c r="E17" s="96"/>
      <c r="F17" s="96"/>
      <c r="G17" s="96"/>
      <c r="H17" s="96"/>
      <c r="I17" s="97"/>
      <c r="J17" s="96"/>
      <c r="K17" s="96"/>
      <c r="L17" s="98"/>
      <c r="M17" s="96"/>
      <c r="N17" s="96"/>
      <c r="O17" s="96"/>
      <c r="P17" s="96"/>
      <c r="R17" s="87">
        <f ca="1">TODAY()-7*(ROW()-17)</f>
        <v>45996</v>
      </c>
      <c r="S17" s="91">
        <f ca="1">IF(COUNTIFS(DATA!$B:$B, "&gt;="&amp;R17-6, DATA!$B:$B, "&lt;="&amp;R17, DATA!$C:$C, "Run")=0, NA(), AVERAGEIFS(DATA!$F:$F, DATA!$B:$B, "&gt;="&amp;R17-6, DATA!$B:$B, "&lt;="&amp;R17, DATA!$C:$C, "Run"))</f>
        <v>6.5624999999999998E-3</v>
      </c>
      <c r="T17" s="94"/>
      <c r="U17" s="93" cm="1">
        <f t="array" aca="1" ref="U17:U27" ca="1">_xlfn._xlws.FILTER(R17:R28, NOT(ISNA(S17:S28)))</f>
        <v>45996</v>
      </c>
      <c r="V17" s="88" cm="1">
        <f t="array" aca="1" ref="V17:V27" ca="1">_xlfn._xlws.FILTER(S17:S28, NOT(ISNA(S17:S28)))</f>
        <v>6.5624999999999998E-3</v>
      </c>
    </row>
    <row r="18" spans="1:22" x14ac:dyDescent="0.3">
      <c r="A18" s="97"/>
      <c r="B18" s="96"/>
      <c r="C18" s="96"/>
      <c r="D18" s="96"/>
      <c r="E18" s="96"/>
      <c r="F18" s="96"/>
      <c r="G18" s="96"/>
      <c r="H18" s="96"/>
      <c r="I18" s="97"/>
      <c r="J18" s="96"/>
      <c r="K18" s="96"/>
      <c r="L18" s="98"/>
      <c r="M18" s="96"/>
      <c r="N18" s="96"/>
      <c r="O18" s="96"/>
      <c r="P18" s="96"/>
      <c r="R18" s="87">
        <f t="shared" ref="R18:R28" ca="1" si="2">TODAY()-7*(ROW()-17)</f>
        <v>45989</v>
      </c>
      <c r="S18" s="91">
        <f ca="1">IF(COUNTIFS(DATA!$B:$B, "&gt;="&amp;R18-6, DATA!$B:$B, "&lt;="&amp;R18, DATA!$C:$C, "Run")=0, NA(), AVERAGEIFS(DATA!$F:$F, DATA!$B:$B, "&gt;="&amp;R18-6, DATA!$B:$B, "&lt;="&amp;R18, DATA!$C:$C, "Run"))</f>
        <v>7.2762345679012351E-3</v>
      </c>
      <c r="T18" s="94"/>
      <c r="U18" s="93">
        <f ca="1"/>
        <v>45989</v>
      </c>
      <c r="V18" s="88">
        <f ca="1"/>
        <v>7.2762345679012351E-3</v>
      </c>
    </row>
    <row r="19" spans="1:22" x14ac:dyDescent="0.3">
      <c r="A19" s="97"/>
      <c r="B19" s="96"/>
      <c r="C19" s="96"/>
      <c r="D19" s="96"/>
      <c r="E19" s="96"/>
      <c r="F19" s="96"/>
      <c r="G19" s="96"/>
      <c r="H19" s="96"/>
      <c r="I19" s="97"/>
      <c r="J19" s="96"/>
      <c r="K19" s="96"/>
      <c r="L19" s="98"/>
      <c r="M19" s="96"/>
      <c r="N19" s="96"/>
      <c r="O19" s="96"/>
      <c r="P19" s="96"/>
      <c r="R19" s="87">
        <f t="shared" ca="1" si="2"/>
        <v>45982</v>
      </c>
      <c r="S19" s="91" t="e">
        <f ca="1">IF(COUNTIFS(DATA!$B:$B, "&gt;="&amp;R19-6, DATA!$B:$B, "&lt;="&amp;R19, DATA!$C:$C, "Run")=0, NA(), AVERAGEIFS(DATA!$F:$F, DATA!$B:$B, "&gt;="&amp;R19-6, DATA!$B:$B, "&lt;="&amp;R19, DATA!$C:$C, "Run"))</f>
        <v>#N/A</v>
      </c>
      <c r="T19" s="94"/>
      <c r="U19" s="93">
        <f ca="1"/>
        <v>45975</v>
      </c>
      <c r="V19" s="88">
        <f ca="1"/>
        <v>6.9656635802469134E-3</v>
      </c>
    </row>
    <row r="20" spans="1:22" x14ac:dyDescent="0.3">
      <c r="A20" s="97"/>
      <c r="B20" s="96"/>
      <c r="C20" s="96"/>
      <c r="D20" s="96"/>
      <c r="E20" s="96"/>
      <c r="F20" s="96"/>
      <c r="G20" s="96"/>
      <c r="H20" s="96"/>
      <c r="I20" s="97"/>
      <c r="J20" s="96"/>
      <c r="K20" s="96"/>
      <c r="L20" s="98"/>
      <c r="M20" s="96"/>
      <c r="N20" s="96"/>
      <c r="O20" s="96"/>
      <c r="P20" s="96"/>
      <c r="R20" s="87">
        <f t="shared" ca="1" si="2"/>
        <v>45975</v>
      </c>
      <c r="S20" s="91">
        <f ca="1">IF(COUNTIFS(DATA!$B:$B, "&gt;="&amp;R20-6, DATA!$B:$B, "&lt;="&amp;R20, DATA!$C:$C, "Run")=0, NA(), AVERAGEIFS(DATA!$F:$F, DATA!$B:$B, "&gt;="&amp;R20-6, DATA!$B:$B, "&lt;="&amp;R20, DATA!$C:$C, "Run"))</f>
        <v>6.9656635802469134E-3</v>
      </c>
      <c r="T20" s="94"/>
      <c r="U20" s="93">
        <f ca="1"/>
        <v>45968</v>
      </c>
      <c r="V20" s="88">
        <f ca="1"/>
        <v>6.6782407407407407E-3</v>
      </c>
    </row>
    <row r="21" spans="1:22" x14ac:dyDescent="0.3">
      <c r="A21" s="97"/>
      <c r="I21" s="97"/>
      <c r="L21" s="97"/>
      <c r="R21" s="87">
        <f t="shared" ca="1" si="2"/>
        <v>45968</v>
      </c>
      <c r="S21" s="91">
        <f ca="1">IF(COUNTIFS(DATA!$B:$B, "&gt;="&amp;R21-6, DATA!$B:$B, "&lt;="&amp;R21, DATA!$C:$C, "Run")=0, NA(), AVERAGEIFS(DATA!$F:$F, DATA!$B:$B, "&gt;="&amp;R21-6, DATA!$B:$B, "&lt;="&amp;R21, DATA!$C:$C, "Run"))</f>
        <v>6.6782407407407407E-3</v>
      </c>
      <c r="T21" s="94"/>
      <c r="U21" s="93">
        <f ca="1"/>
        <v>45961</v>
      </c>
      <c r="V21" s="88">
        <f ca="1"/>
        <v>7.262731481481482E-3</v>
      </c>
    </row>
    <row r="22" spans="1:22" x14ac:dyDescent="0.3">
      <c r="A22" s="97"/>
      <c r="B22" s="96"/>
      <c r="C22" s="96"/>
      <c r="D22" s="96"/>
      <c r="E22" s="96"/>
      <c r="F22" s="96"/>
      <c r="G22" s="96"/>
      <c r="H22" s="96"/>
      <c r="I22" s="97"/>
      <c r="J22" s="96"/>
      <c r="K22" s="96"/>
      <c r="L22" s="98"/>
      <c r="M22" s="96"/>
      <c r="N22" s="96"/>
      <c r="O22" s="96"/>
      <c r="P22" s="96"/>
      <c r="R22" s="87">
        <f t="shared" ca="1" si="2"/>
        <v>45961</v>
      </c>
      <c r="S22" s="91">
        <f ca="1">IF(COUNTIFS(DATA!$B:$B, "&gt;="&amp;R22-6, DATA!$B:$B, "&lt;="&amp;R22, DATA!$C:$C, "Run")=0, NA(), AVERAGEIFS(DATA!$F:$F, DATA!$B:$B, "&gt;="&amp;R22-6, DATA!$B:$B, "&lt;="&amp;R22, DATA!$C:$C, "Run"))</f>
        <v>7.262731481481482E-3</v>
      </c>
      <c r="T22" s="94"/>
      <c r="U22" s="93">
        <f ca="1"/>
        <v>45954</v>
      </c>
      <c r="V22" s="88">
        <f ca="1"/>
        <v>6.7939814814814816E-3</v>
      </c>
    </row>
    <row r="23" spans="1:22" ht="24" customHeight="1" x14ac:dyDescent="0.3">
      <c r="A23" s="97"/>
      <c r="B23" s="98"/>
      <c r="C23" s="98"/>
      <c r="D23" s="98"/>
      <c r="E23" s="98"/>
      <c r="F23" s="98"/>
      <c r="G23" s="98"/>
      <c r="H23" s="98"/>
      <c r="I23" s="97"/>
      <c r="J23" s="98"/>
      <c r="K23" s="98"/>
      <c r="L23" s="98"/>
      <c r="M23" s="96"/>
      <c r="N23" s="96"/>
      <c r="O23" s="96"/>
      <c r="P23" s="96"/>
      <c r="R23" s="87">
        <f t="shared" ca="1" si="2"/>
        <v>45954</v>
      </c>
      <c r="S23" s="91">
        <f ca="1">IF(COUNTIFS(DATA!$B:$B, "&gt;="&amp;R23-6, DATA!$B:$B, "&lt;="&amp;R23, DATA!$C:$C, "Run")=0, NA(), AVERAGEIFS(DATA!$F:$F, DATA!$B:$B, "&gt;="&amp;R23-6, DATA!$B:$B, "&lt;="&amp;R23, DATA!$C:$C, "Run"))</f>
        <v>6.7939814814814816E-3</v>
      </c>
      <c r="T23" s="94"/>
      <c r="U23" s="93">
        <f ca="1"/>
        <v>45947</v>
      </c>
      <c r="V23" s="88">
        <f ca="1"/>
        <v>7.083333333333333E-3</v>
      </c>
    </row>
    <row r="24" spans="1:22" ht="24" customHeight="1" x14ac:dyDescent="0.3">
      <c r="A24" s="97"/>
      <c r="B24" s="98"/>
      <c r="C24" s="98"/>
      <c r="D24" s="98"/>
      <c r="E24" s="98"/>
      <c r="F24" s="98"/>
      <c r="G24" s="98"/>
      <c r="H24" s="98"/>
      <c r="I24" s="97"/>
      <c r="J24" s="98"/>
      <c r="K24" s="98"/>
      <c r="L24" s="98"/>
      <c r="M24" s="96"/>
      <c r="N24" s="96"/>
      <c r="O24" s="96"/>
      <c r="P24" s="96"/>
      <c r="R24" s="87">
        <f t="shared" ca="1" si="2"/>
        <v>45947</v>
      </c>
      <c r="S24" s="91">
        <f ca="1">IF(COUNTIFS(DATA!$B:$B, "&gt;="&amp;R24-6, DATA!$B:$B, "&lt;="&amp;R24, DATA!$C:$C, "Run")=0, NA(), AVERAGEIFS(DATA!$F:$F, DATA!$B:$B, "&gt;="&amp;R24-6, DATA!$B:$B, "&lt;="&amp;R24, DATA!$C:$C, "Run"))</f>
        <v>7.083333333333333E-3</v>
      </c>
      <c r="T24" s="94"/>
      <c r="U24" s="93">
        <f ca="1"/>
        <v>45940</v>
      </c>
      <c r="V24" s="88">
        <f ca="1"/>
        <v>7.3402777777777772E-3</v>
      </c>
    </row>
    <row r="25" spans="1:22" x14ac:dyDescent="0.3">
      <c r="A25" s="97"/>
      <c r="B25" s="96"/>
      <c r="C25" s="96"/>
      <c r="D25" s="96"/>
      <c r="E25" s="96"/>
      <c r="F25" s="96"/>
      <c r="G25" s="96"/>
      <c r="H25" s="96"/>
      <c r="I25" s="97"/>
      <c r="J25" s="96"/>
      <c r="K25" s="96"/>
      <c r="L25" s="98"/>
      <c r="M25" s="96"/>
      <c r="N25" s="96"/>
      <c r="O25" s="96"/>
      <c r="P25" s="96"/>
      <c r="R25" s="87">
        <f t="shared" ca="1" si="2"/>
        <v>45940</v>
      </c>
      <c r="S25" s="91">
        <f ca="1">IF(COUNTIFS(DATA!$B:$B, "&gt;="&amp;R25-6, DATA!$B:$B, "&lt;="&amp;R25, DATA!$C:$C, "Run")=0, NA(), AVERAGEIFS(DATA!$F:$F, DATA!$B:$B, "&gt;="&amp;R25-6, DATA!$B:$B, "&lt;="&amp;R25, DATA!$C:$C, "Run"))</f>
        <v>7.3402777777777772E-3</v>
      </c>
      <c r="T25" s="94"/>
      <c r="U25" s="93">
        <f ca="1"/>
        <v>45933</v>
      </c>
      <c r="V25" s="88">
        <f ca="1"/>
        <v>7.0399305555555562E-3</v>
      </c>
    </row>
    <row r="26" spans="1:22" x14ac:dyDescent="0.3">
      <c r="A26" s="97"/>
      <c r="B26" s="96"/>
      <c r="C26" s="96"/>
      <c r="D26" s="96"/>
      <c r="E26" s="96"/>
      <c r="F26" s="96"/>
      <c r="G26" s="96"/>
      <c r="H26" s="96"/>
      <c r="I26" s="97"/>
      <c r="J26" s="96"/>
      <c r="K26" s="96"/>
      <c r="L26" s="98"/>
      <c r="M26" s="96"/>
      <c r="N26" s="96"/>
      <c r="O26" s="96"/>
      <c r="P26" s="96"/>
      <c r="R26" s="87">
        <f t="shared" ca="1" si="2"/>
        <v>45933</v>
      </c>
      <c r="S26" s="91">
        <f ca="1">IF(COUNTIFS(DATA!$B:$B, "&gt;="&amp;R26-6, DATA!$B:$B, "&lt;="&amp;R26, DATA!$C:$C, "Run")=0, NA(), AVERAGEIFS(DATA!$F:$F, DATA!$B:$B, "&gt;="&amp;R26-6, DATA!$B:$B, "&lt;="&amp;R26, DATA!$C:$C, "Run"))</f>
        <v>7.0399305555555562E-3</v>
      </c>
      <c r="T26" s="94"/>
      <c r="U26" s="93">
        <f ca="1"/>
        <v>45926</v>
      </c>
      <c r="V26" s="88">
        <f ca="1"/>
        <v>7.1296296296296299E-3</v>
      </c>
    </row>
    <row r="27" spans="1:22" x14ac:dyDescent="0.3">
      <c r="A27" s="97"/>
      <c r="B27" s="96"/>
      <c r="C27" s="96"/>
      <c r="D27" s="96"/>
      <c r="E27" s="96"/>
      <c r="F27" s="96"/>
      <c r="G27" s="96"/>
      <c r="H27" s="96"/>
      <c r="I27" s="97"/>
      <c r="J27" s="96"/>
      <c r="K27" s="96"/>
      <c r="L27" s="98"/>
      <c r="M27" s="96"/>
      <c r="N27" s="96"/>
      <c r="O27" s="96"/>
      <c r="P27" s="96"/>
      <c r="R27" s="87">
        <f t="shared" ca="1" si="2"/>
        <v>45926</v>
      </c>
      <c r="S27" s="91">
        <f ca="1">IF(COUNTIFS(DATA!$B:$B, "&gt;="&amp;R27-6, DATA!$B:$B, "&lt;="&amp;R27, DATA!$C:$C, "Run")=0, NA(), AVERAGEIFS(DATA!$F:$F, DATA!$B:$B, "&gt;="&amp;R27-6, DATA!$B:$B, "&lt;="&amp;R27, DATA!$C:$C, "Run"))</f>
        <v>7.1296296296296299E-3</v>
      </c>
      <c r="T27" s="94"/>
      <c r="U27" s="93">
        <f ca="1"/>
        <v>45919</v>
      </c>
      <c r="V27" s="88">
        <f ca="1"/>
        <v>6.4670138888888885E-3</v>
      </c>
    </row>
    <row r="28" spans="1:22" x14ac:dyDescent="0.3">
      <c r="A28" s="97"/>
      <c r="B28" s="96"/>
      <c r="C28" s="96"/>
      <c r="D28" s="96"/>
      <c r="E28" s="96"/>
      <c r="F28" s="96"/>
      <c r="G28" s="96"/>
      <c r="H28" s="96"/>
      <c r="I28" s="97"/>
      <c r="J28" s="96"/>
      <c r="K28" s="96"/>
      <c r="L28" s="98"/>
      <c r="M28" s="96"/>
      <c r="N28" s="96"/>
      <c r="O28" s="96"/>
      <c r="P28" s="96"/>
      <c r="R28" s="87">
        <f t="shared" ca="1" si="2"/>
        <v>45919</v>
      </c>
      <c r="S28" s="91">
        <f ca="1">IF(COUNTIFS(DATA!$B:$B, "&gt;="&amp;R28-6, DATA!$B:$B, "&lt;="&amp;R28, DATA!$C:$C, "Run")=0, NA(), AVERAGEIFS(DATA!$F:$F, DATA!$B:$B, "&gt;="&amp;R28-6, DATA!$B:$B, "&lt;="&amp;R28, DATA!$C:$C, "Run"))</f>
        <v>6.4670138888888885E-3</v>
      </c>
      <c r="T28" s="94"/>
      <c r="U28" s="93"/>
      <c r="V28" s="88"/>
    </row>
    <row r="29" spans="1:22" x14ac:dyDescent="0.3">
      <c r="A29" s="97"/>
      <c r="B29" s="96"/>
      <c r="C29" s="96"/>
      <c r="D29" s="96"/>
      <c r="E29" s="96"/>
      <c r="F29" s="96"/>
      <c r="G29" s="96"/>
      <c r="H29" s="96"/>
      <c r="I29" s="97"/>
      <c r="J29" s="96"/>
      <c r="K29" s="96"/>
      <c r="L29" s="98"/>
      <c r="M29" s="96"/>
      <c r="N29" s="96"/>
      <c r="O29" s="96"/>
      <c r="P29" s="96"/>
      <c r="R29"/>
      <c r="U29" s="95"/>
    </row>
    <row r="30" spans="1:22" x14ac:dyDescent="0.3">
      <c r="A30" s="97"/>
      <c r="B30" s="96"/>
      <c r="C30" s="96"/>
      <c r="D30" s="96"/>
      <c r="E30" s="96"/>
      <c r="F30" s="96"/>
      <c r="G30" s="96"/>
      <c r="H30" s="96"/>
      <c r="I30" s="97"/>
      <c r="J30" s="96"/>
      <c r="K30" s="96"/>
      <c r="L30" s="98"/>
      <c r="M30" s="96"/>
      <c r="N30" s="96"/>
      <c r="O30" s="96"/>
      <c r="P30" s="96"/>
      <c r="R30" s="85" t="s">
        <v>86</v>
      </c>
      <c r="S30" s="85" t="s">
        <v>70</v>
      </c>
    </row>
    <row r="31" spans="1:22" x14ac:dyDescent="0.3">
      <c r="A31" s="97"/>
      <c r="B31" s="96"/>
      <c r="C31" s="96"/>
      <c r="D31" s="96"/>
      <c r="E31" s="96"/>
      <c r="F31" s="96"/>
      <c r="G31" s="96"/>
      <c r="H31" s="96"/>
      <c r="I31" s="97"/>
      <c r="J31" s="96"/>
      <c r="K31" s="96"/>
      <c r="L31" s="98"/>
      <c r="M31" s="96"/>
      <c r="N31" s="96"/>
      <c r="O31" s="96"/>
      <c r="P31" s="96"/>
      <c r="R31" s="89" t="str">
        <f ca="1">TEXT(DATE(YEAR(TODAY()),MONTH(TODAY())-ROW()+31,1),"mmm yyyy")</f>
        <v>Dec 2025</v>
      </c>
      <c r="S31" s="86">
        <f ca="1">SUMIFS(DATA!$D:$D, DATA!$B:$B, "&gt;="&amp;DATE(YEAR(TODAY()),MONTH(TODAY())-ROW()+31,1), DATA!$B:$B, "&lt;"&amp;DATE(YEAR(TODAY()),MONTH(TODAY())-ROW()+32,1), DATA!$C:$C, "Run")</f>
        <v>8.32</v>
      </c>
    </row>
    <row r="32" spans="1:22" x14ac:dyDescent="0.3">
      <c r="A32" s="97"/>
      <c r="B32" s="96"/>
      <c r="C32" s="96"/>
      <c r="D32" s="96"/>
      <c r="E32" s="96"/>
      <c r="F32" s="96"/>
      <c r="G32" s="96"/>
      <c r="H32" s="96"/>
      <c r="I32" s="97"/>
      <c r="J32" s="96"/>
      <c r="K32" s="96"/>
      <c r="L32" s="98"/>
      <c r="M32" s="96"/>
      <c r="N32" s="96"/>
      <c r="O32" s="96"/>
      <c r="P32" s="96"/>
      <c r="R32" s="89" t="str">
        <f t="shared" ref="R32:R36" ca="1" si="3">TEXT(DATE(YEAR(TODAY()),MONTH(TODAY())-ROW()+31,1),"mmm yyyy")</f>
        <v>Nov 2025</v>
      </c>
      <c r="S32" s="86">
        <f ca="1">SUMIFS(DATA!$D:$D, DATA!$B:$B, "&gt;="&amp;DATE(YEAR(TODAY()),MONTH(TODAY())-ROW()+31,1), DATA!$B:$B, "&lt;"&amp;DATE(YEAR(TODAY()),MONTH(TODAY())-ROW()+32,1), DATA!$C:$C, "Run")</f>
        <v>63.269999999999996</v>
      </c>
    </row>
    <row r="33" spans="1:23" x14ac:dyDescent="0.3">
      <c r="A33" s="97"/>
      <c r="B33" s="96"/>
      <c r="C33" s="96"/>
      <c r="D33" s="96"/>
      <c r="E33" s="96"/>
      <c r="F33" s="96"/>
      <c r="G33" s="96"/>
      <c r="H33" s="96"/>
      <c r="I33" s="97"/>
      <c r="J33" s="96"/>
      <c r="K33" s="96"/>
      <c r="L33" s="98"/>
      <c r="M33" s="96"/>
      <c r="N33" s="96"/>
      <c r="O33" s="96"/>
      <c r="P33" s="96"/>
      <c r="R33" s="89" t="str">
        <f t="shared" ca="1" si="3"/>
        <v>Oct 2025</v>
      </c>
      <c r="S33" s="86">
        <f ca="1">SUMIFS(DATA!$D:$D, DATA!$B:$B, "&gt;="&amp;DATE(YEAR(TODAY()),MONTH(TODAY())-ROW()+31,1), DATA!$B:$B, "&lt;"&amp;DATE(YEAR(TODAY()),MONTH(TODAY())-ROW()+32,1), DATA!$C:$C, "Run")</f>
        <v>116.39000000000003</v>
      </c>
    </row>
    <row r="34" spans="1:23" x14ac:dyDescent="0.3">
      <c r="A34" s="97"/>
      <c r="B34" s="96"/>
      <c r="C34" s="96"/>
      <c r="D34" s="96"/>
      <c r="E34" s="96"/>
      <c r="F34" s="96"/>
      <c r="G34" s="96"/>
      <c r="H34" s="96"/>
      <c r="I34" s="97"/>
      <c r="J34" s="96"/>
      <c r="K34" s="96"/>
      <c r="L34" s="98"/>
      <c r="M34" s="96"/>
      <c r="N34" s="96"/>
      <c r="O34" s="96"/>
      <c r="P34" s="96"/>
      <c r="R34" s="89" t="str">
        <f t="shared" ca="1" si="3"/>
        <v>Sep 2025</v>
      </c>
      <c r="S34" s="86">
        <f ca="1">SUMIFS(DATA!$D:$D, DATA!$B:$B, "&gt;="&amp;DATE(YEAR(TODAY()),MONTH(TODAY())-ROW()+31,1), DATA!$B:$B, "&lt;"&amp;DATE(YEAR(TODAY()),MONTH(TODAY())-ROW()+32,1), DATA!$C:$C, "Run")</f>
        <v>55.829999999999984</v>
      </c>
    </row>
    <row r="35" spans="1:23" x14ac:dyDescent="0.3">
      <c r="A35" s="97"/>
      <c r="B35" s="96"/>
      <c r="C35" s="96"/>
      <c r="D35" s="96"/>
      <c r="E35" s="96"/>
      <c r="F35" s="96"/>
      <c r="G35" s="96"/>
      <c r="H35" s="96"/>
      <c r="I35" s="97"/>
      <c r="J35" s="96"/>
      <c r="K35" s="96"/>
      <c r="L35" s="98"/>
      <c r="M35" s="96"/>
      <c r="N35" s="96"/>
      <c r="O35" s="96"/>
      <c r="P35" s="96"/>
      <c r="R35" s="89" t="str">
        <f t="shared" ca="1" si="3"/>
        <v>Aug 2025</v>
      </c>
      <c r="S35" s="86">
        <f ca="1">SUMIFS(DATA!$D:$D, DATA!$B:$B, "&gt;="&amp;DATE(YEAR(TODAY()),MONTH(TODAY())-ROW()+31,1), DATA!$B:$B, "&lt;"&amp;DATE(YEAR(TODAY()),MONTH(TODAY())-ROW()+32,1), DATA!$C:$C, "Run")</f>
        <v>2.0099999999999998</v>
      </c>
    </row>
    <row r="36" spans="1:23" x14ac:dyDescent="0.3">
      <c r="A36" s="97"/>
      <c r="B36" s="96"/>
      <c r="C36" s="96"/>
      <c r="D36" s="96"/>
      <c r="E36" s="96"/>
      <c r="F36" s="96"/>
      <c r="G36" s="96"/>
      <c r="H36" s="96"/>
      <c r="I36" s="97"/>
      <c r="J36" s="96"/>
      <c r="K36" s="96"/>
      <c r="L36" s="98"/>
      <c r="M36" s="96"/>
      <c r="N36" s="96"/>
      <c r="O36" s="96"/>
      <c r="P36" s="96"/>
      <c r="R36" s="89" t="str">
        <f t="shared" ca="1" si="3"/>
        <v>Jul 2025</v>
      </c>
      <c r="S36" s="86">
        <f ca="1">SUMIFS(DATA!$D:$D, DATA!$B:$B, "&gt;="&amp;DATE(YEAR(TODAY()),MONTH(TODAY())-ROW()+31,1), DATA!$B:$B, "&lt;"&amp;DATE(YEAR(TODAY()),MONTH(TODAY())-ROW()+32,1), DATA!$C:$C, "Run")</f>
        <v>0</v>
      </c>
    </row>
    <row r="37" spans="1:23" x14ac:dyDescent="0.3">
      <c r="A37" s="97"/>
      <c r="B37" s="96"/>
      <c r="C37" s="96"/>
      <c r="D37" s="96"/>
      <c r="E37" s="96"/>
      <c r="F37" s="96"/>
      <c r="G37" s="96"/>
      <c r="H37" s="96"/>
      <c r="I37" s="97"/>
      <c r="J37" s="96"/>
      <c r="K37" s="96"/>
      <c r="L37" s="98"/>
      <c r="M37" s="96"/>
      <c r="N37" s="96"/>
      <c r="O37" s="96"/>
      <c r="P37" s="96"/>
    </row>
    <row r="38" spans="1:23" x14ac:dyDescent="0.3">
      <c r="A38" s="97"/>
      <c r="B38" s="96"/>
      <c r="C38" s="96"/>
      <c r="D38" s="96"/>
      <c r="E38" s="96"/>
      <c r="F38" s="96"/>
      <c r="G38" s="96"/>
      <c r="H38" s="96"/>
      <c r="I38" s="97"/>
      <c r="J38" s="96"/>
      <c r="K38" s="96"/>
      <c r="L38" s="98"/>
      <c r="M38" s="96"/>
      <c r="N38" s="96"/>
      <c r="O38" s="96"/>
      <c r="P38" s="96"/>
    </row>
    <row r="39" spans="1:23" x14ac:dyDescent="0.3">
      <c r="A39" s="97"/>
      <c r="B39" s="96"/>
      <c r="C39" s="96"/>
      <c r="D39" s="96"/>
      <c r="E39" s="96"/>
      <c r="F39" s="96"/>
      <c r="G39" s="96"/>
      <c r="H39" s="96"/>
      <c r="I39" s="97"/>
      <c r="J39" s="96"/>
      <c r="K39" s="96"/>
      <c r="L39" s="98"/>
      <c r="M39" s="96"/>
      <c r="N39" s="96"/>
      <c r="O39" s="96"/>
      <c r="P39" s="96"/>
      <c r="R39" s="85" t="s">
        <v>69</v>
      </c>
      <c r="S39" s="85" t="s">
        <v>62</v>
      </c>
      <c r="V39" s="85" t="s">
        <v>87</v>
      </c>
      <c r="W39" s="85" t="s">
        <v>78</v>
      </c>
    </row>
    <row r="40" spans="1:23" x14ac:dyDescent="0.3">
      <c r="A40" s="97"/>
      <c r="B40" s="96"/>
      <c r="C40" s="96"/>
      <c r="D40" s="96"/>
      <c r="E40" s="96"/>
      <c r="F40" s="96"/>
      <c r="G40" s="96"/>
      <c r="H40" s="96"/>
      <c r="I40" s="97"/>
      <c r="J40" s="96"/>
      <c r="K40" s="96"/>
      <c r="L40" s="98"/>
      <c r="M40" s="96"/>
      <c r="N40" s="96"/>
      <c r="O40" s="96"/>
      <c r="P40" s="96"/>
      <c r="R40" s="87">
        <f ca="1">TODAY()-7*(ROW()-40)</f>
        <v>45996</v>
      </c>
      <c r="S40" s="86">
        <f ca="1">SUMIFS(DATA!$G:$G, DATA!$B:$B, "&gt;="&amp;R40-6, DATA!$B:$B, "&lt;="&amp;R40, DATA!$C:$C, "Run")</f>
        <v>390</v>
      </c>
      <c r="V40" s="86">
        <v>1</v>
      </c>
      <c r="W40" s="89">
        <f>COUNTIF(DATA!$I:$I,V40)</f>
        <v>5</v>
      </c>
    </row>
    <row r="41" spans="1:23" x14ac:dyDescent="0.3">
      <c r="A41" s="97"/>
      <c r="I41" s="97"/>
      <c r="L41" s="97"/>
      <c r="R41" s="87">
        <f t="shared" ref="R41:R51" ca="1" si="4">TODAY()-7*(ROW()-40)</f>
        <v>45989</v>
      </c>
      <c r="S41" s="86">
        <f ca="1">SUMIFS(DATA!$G:$G, DATA!$B:$B, "&gt;="&amp;R41-6, DATA!$B:$B, "&lt;="&amp;R41, DATA!$C:$C, "Run")</f>
        <v>643</v>
      </c>
      <c r="V41" s="86">
        <v>2</v>
      </c>
      <c r="W41" s="89">
        <f>COUNTIF(DATA!$I:$I,V41)</f>
        <v>4</v>
      </c>
    </row>
    <row r="42" spans="1:23" x14ac:dyDescent="0.3">
      <c r="A42" s="97"/>
      <c r="B42" s="96"/>
      <c r="C42" s="96"/>
      <c r="D42" s="96"/>
      <c r="E42" s="96"/>
      <c r="F42" s="96"/>
      <c r="G42" s="96"/>
      <c r="H42" s="96"/>
      <c r="I42" s="97"/>
      <c r="J42" s="96"/>
      <c r="K42" s="96"/>
      <c r="L42" s="98"/>
      <c r="M42" s="96"/>
      <c r="N42" s="96"/>
      <c r="O42" s="96"/>
      <c r="P42" s="96"/>
      <c r="R42" s="87">
        <f t="shared" ca="1" si="4"/>
        <v>45982</v>
      </c>
      <c r="S42" s="86">
        <f ca="1">SUMIFS(DATA!$G:$G, DATA!$B:$B, "&gt;="&amp;R42-6, DATA!$B:$B, "&lt;="&amp;R42, DATA!$C:$C, "Run")</f>
        <v>0</v>
      </c>
      <c r="V42" s="86">
        <v>3</v>
      </c>
      <c r="W42" s="89">
        <f>COUNTIF(DATA!$I:$I,V42)</f>
        <v>1</v>
      </c>
    </row>
    <row r="43" spans="1:23" x14ac:dyDescent="0.3">
      <c r="A43" s="97"/>
      <c r="B43" s="96"/>
      <c r="C43" s="96"/>
      <c r="D43" s="96"/>
      <c r="E43" s="96"/>
      <c r="F43" s="96"/>
      <c r="G43" s="96"/>
      <c r="H43" s="96"/>
      <c r="I43" s="97"/>
      <c r="J43" s="96"/>
      <c r="K43" s="96"/>
      <c r="L43" s="98"/>
      <c r="M43" s="96"/>
      <c r="N43" s="96"/>
      <c r="O43" s="96"/>
      <c r="P43" s="96"/>
      <c r="R43" s="87">
        <f t="shared" ca="1" si="4"/>
        <v>45975</v>
      </c>
      <c r="S43" s="86">
        <f ca="1">SUMIFS(DATA!$G:$G, DATA!$B:$B, "&gt;="&amp;R43-6, DATA!$B:$B, "&lt;="&amp;R43, DATA!$C:$C, "Run")</f>
        <v>853</v>
      </c>
      <c r="V43" s="86">
        <v>4</v>
      </c>
      <c r="W43" s="89">
        <f>COUNTIF(DATA!$I:$I,V43)</f>
        <v>11</v>
      </c>
    </row>
    <row r="44" spans="1:23" x14ac:dyDescent="0.3">
      <c r="A44" s="97"/>
      <c r="B44" s="96"/>
      <c r="C44" s="96"/>
      <c r="D44" s="96"/>
      <c r="E44" s="96"/>
      <c r="F44" s="96"/>
      <c r="G44" s="96"/>
      <c r="H44" s="96"/>
      <c r="I44" s="97"/>
      <c r="J44" s="96"/>
      <c r="K44" s="96"/>
      <c r="L44" s="98"/>
      <c r="M44" s="96"/>
      <c r="N44" s="96"/>
      <c r="O44" s="96"/>
      <c r="P44" s="96"/>
      <c r="R44" s="87">
        <f t="shared" ca="1" si="4"/>
        <v>45968</v>
      </c>
      <c r="S44" s="86">
        <f ca="1">SUMIFS(DATA!$G:$G, DATA!$B:$B, "&gt;="&amp;R44-6, DATA!$B:$B, "&lt;="&amp;R44, DATA!$C:$C, "Run")</f>
        <v>75</v>
      </c>
      <c r="V44" s="86">
        <v>5</v>
      </c>
      <c r="W44" s="89">
        <f>COUNTIF(DATA!$I:$I,V44)</f>
        <v>9</v>
      </c>
    </row>
    <row r="45" spans="1:23" x14ac:dyDescent="0.3">
      <c r="A45" s="97"/>
      <c r="B45" s="96"/>
      <c r="C45" s="96"/>
      <c r="D45" s="96"/>
      <c r="E45" s="96"/>
      <c r="F45" s="96"/>
      <c r="G45" s="96"/>
      <c r="H45" s="96"/>
      <c r="I45" s="97"/>
      <c r="J45" s="96"/>
      <c r="K45" s="96"/>
      <c r="L45" s="98"/>
      <c r="M45" s="96"/>
      <c r="N45" s="96"/>
      <c r="O45" s="96"/>
      <c r="P45" s="96"/>
      <c r="R45" s="87">
        <f t="shared" ca="1" si="4"/>
        <v>45961</v>
      </c>
      <c r="S45" s="86">
        <f ca="1">SUMIFS(DATA!$G:$G, DATA!$B:$B, "&gt;="&amp;R45-6, DATA!$B:$B, "&lt;="&amp;R45, DATA!$C:$C, "Run")</f>
        <v>640</v>
      </c>
      <c r="V45" s="86">
        <v>6</v>
      </c>
      <c r="W45" s="89">
        <f>COUNTIF(DATA!$I:$I,V45)</f>
        <v>6</v>
      </c>
    </row>
    <row r="46" spans="1:23" ht="24" customHeight="1" x14ac:dyDescent="0.3">
      <c r="A46" s="97"/>
      <c r="B46" s="98"/>
      <c r="C46" s="98"/>
      <c r="D46" s="98"/>
      <c r="E46" s="98"/>
      <c r="F46" s="98"/>
      <c r="G46" s="98"/>
      <c r="H46" s="98"/>
      <c r="I46" s="97"/>
      <c r="J46" s="98"/>
      <c r="K46" s="98"/>
      <c r="L46" s="98"/>
      <c r="M46" s="96"/>
      <c r="N46" s="96"/>
      <c r="O46" s="96"/>
      <c r="P46" s="96"/>
      <c r="R46" s="87">
        <f t="shared" ca="1" si="4"/>
        <v>45954</v>
      </c>
      <c r="S46" s="86">
        <f ca="1">SUMIFS(DATA!$G:$G, DATA!$B:$B, "&gt;="&amp;R46-6, DATA!$B:$B, "&lt;="&amp;R46, DATA!$C:$C, "Run")</f>
        <v>439</v>
      </c>
      <c r="V46" s="86">
        <v>7</v>
      </c>
      <c r="W46" s="89">
        <f>COUNTIF(DATA!$I:$I,V46)</f>
        <v>10</v>
      </c>
    </row>
    <row r="47" spans="1:23" ht="24" customHeight="1" x14ac:dyDescent="0.3">
      <c r="A47" s="97"/>
      <c r="B47" s="98"/>
      <c r="C47" s="98"/>
      <c r="D47" s="98"/>
      <c r="E47" s="98"/>
      <c r="F47" s="98"/>
      <c r="G47" s="98"/>
      <c r="H47" s="98"/>
      <c r="I47" s="97"/>
      <c r="J47" s="98"/>
      <c r="K47" s="98"/>
      <c r="L47" s="98"/>
      <c r="M47" s="96"/>
      <c r="N47" s="96"/>
      <c r="O47" s="96"/>
      <c r="P47" s="96"/>
      <c r="R47" s="87">
        <f t="shared" ca="1" si="4"/>
        <v>45947</v>
      </c>
      <c r="S47" s="86">
        <f ca="1">SUMIFS(DATA!$G:$G, DATA!$B:$B, "&gt;="&amp;R47-6, DATA!$B:$B, "&lt;="&amp;R47, DATA!$C:$C, "Run")</f>
        <v>239</v>
      </c>
      <c r="V47" s="86">
        <v>8</v>
      </c>
      <c r="W47" s="89">
        <f>COUNTIF(DATA!$I:$I,V47)</f>
        <v>11</v>
      </c>
    </row>
    <row r="48" spans="1:23" x14ac:dyDescent="0.3">
      <c r="A48" s="97"/>
      <c r="B48" s="96"/>
      <c r="C48" s="96"/>
      <c r="D48" s="96"/>
      <c r="E48" s="96"/>
      <c r="F48" s="96"/>
      <c r="G48" s="96"/>
      <c r="H48" s="96"/>
      <c r="I48" s="97"/>
      <c r="J48" s="96"/>
      <c r="K48" s="96"/>
      <c r="L48" s="98"/>
      <c r="M48" s="96"/>
      <c r="N48" s="96"/>
      <c r="O48" s="96"/>
      <c r="P48" s="96"/>
      <c r="R48" s="87">
        <f t="shared" ca="1" si="4"/>
        <v>45940</v>
      </c>
      <c r="S48" s="86">
        <f ca="1">SUMIFS(DATA!$G:$G, DATA!$B:$B, "&gt;="&amp;R48-6, DATA!$B:$B, "&lt;="&amp;R48, DATA!$C:$C, "Run")</f>
        <v>418</v>
      </c>
      <c r="V48" s="86">
        <v>9</v>
      </c>
      <c r="W48" s="89">
        <f>COUNTIF(DATA!$I:$I,V48)</f>
        <v>3</v>
      </c>
    </row>
    <row r="49" spans="1:23" x14ac:dyDescent="0.3">
      <c r="A49" s="97"/>
      <c r="B49" s="96"/>
      <c r="C49" s="96"/>
      <c r="D49" s="96"/>
      <c r="E49" s="96"/>
      <c r="F49" s="96"/>
      <c r="G49" s="96"/>
      <c r="H49" s="96"/>
      <c r="I49" s="97"/>
      <c r="J49" s="96"/>
      <c r="K49" s="96"/>
      <c r="L49" s="98"/>
      <c r="M49" s="96"/>
      <c r="N49" s="96"/>
      <c r="O49" s="96"/>
      <c r="P49" s="96"/>
      <c r="R49" s="87">
        <f t="shared" ca="1" si="4"/>
        <v>45933</v>
      </c>
      <c r="S49" s="86">
        <f ca="1">SUMIFS(DATA!$G:$G, DATA!$B:$B, "&gt;="&amp;R49-6, DATA!$B:$B, "&lt;="&amp;R49, DATA!$C:$C, "Run")</f>
        <v>555</v>
      </c>
      <c r="V49" s="86">
        <v>10</v>
      </c>
      <c r="W49" s="89">
        <f>COUNTIF(DATA!$I:$I,V49)</f>
        <v>1</v>
      </c>
    </row>
    <row r="50" spans="1:23" x14ac:dyDescent="0.3">
      <c r="A50" s="97"/>
      <c r="B50" s="96"/>
      <c r="C50" s="96"/>
      <c r="D50" s="96"/>
      <c r="E50" s="96"/>
      <c r="F50" s="96"/>
      <c r="G50" s="96"/>
      <c r="H50" s="96"/>
      <c r="I50" s="97"/>
      <c r="J50" s="96"/>
      <c r="K50" s="96"/>
      <c r="L50" s="98"/>
      <c r="M50" s="96"/>
      <c r="N50" s="96"/>
      <c r="O50" s="96"/>
      <c r="P50" s="96"/>
      <c r="R50" s="87">
        <f t="shared" ca="1" si="4"/>
        <v>45926</v>
      </c>
      <c r="S50" s="86">
        <f ca="1">SUMIFS(DATA!$G:$G, DATA!$B:$B, "&gt;="&amp;R50-6, DATA!$B:$B, "&lt;="&amp;R50, DATA!$C:$C, "Run")</f>
        <v>141</v>
      </c>
    </row>
    <row r="51" spans="1:23" x14ac:dyDescent="0.3">
      <c r="A51" s="97"/>
      <c r="B51" s="96"/>
      <c r="C51" s="96"/>
      <c r="D51" s="96"/>
      <c r="E51" s="96"/>
      <c r="F51" s="96"/>
      <c r="G51" s="96"/>
      <c r="H51" s="96"/>
      <c r="I51" s="97"/>
      <c r="J51" s="96"/>
      <c r="K51" s="96"/>
      <c r="L51" s="98"/>
      <c r="M51" s="96"/>
      <c r="N51" s="96"/>
      <c r="O51" s="96"/>
      <c r="P51" s="96"/>
      <c r="R51" s="87">
        <f t="shared" ca="1" si="4"/>
        <v>45919</v>
      </c>
      <c r="S51" s="86">
        <f ca="1">SUMIFS(DATA!$G:$G, DATA!$B:$B, "&gt;="&amp;R51-6, DATA!$B:$B, "&lt;="&amp;R51, DATA!$C:$C, "Run")</f>
        <v>544</v>
      </c>
    </row>
    <row r="52" spans="1:23" x14ac:dyDescent="0.3">
      <c r="A52" s="97"/>
      <c r="B52" s="96"/>
      <c r="C52" s="96"/>
      <c r="D52" s="96"/>
      <c r="E52" s="96"/>
      <c r="F52" s="96"/>
      <c r="G52" s="96"/>
      <c r="H52" s="96"/>
      <c r="I52" s="97"/>
      <c r="J52" s="96"/>
      <c r="K52" s="96"/>
      <c r="L52" s="98"/>
      <c r="M52" s="96"/>
      <c r="N52" s="96"/>
      <c r="O52" s="96"/>
      <c r="P52" s="96"/>
    </row>
    <row r="53" spans="1:23" x14ac:dyDescent="0.3">
      <c r="A53" s="97"/>
      <c r="B53" s="96"/>
      <c r="C53" s="96"/>
      <c r="D53" s="96"/>
      <c r="E53" s="96"/>
      <c r="F53" s="96"/>
      <c r="G53" s="96"/>
      <c r="H53" s="96"/>
      <c r="I53" s="97"/>
      <c r="J53" s="96"/>
      <c r="K53" s="96"/>
      <c r="L53" s="98"/>
      <c r="M53" s="96"/>
      <c r="N53" s="96"/>
      <c r="O53" s="96"/>
      <c r="P53" s="96"/>
    </row>
    <row r="54" spans="1:23" x14ac:dyDescent="0.3">
      <c r="A54" s="97"/>
      <c r="B54" s="96"/>
      <c r="C54" s="96"/>
      <c r="D54" s="96"/>
      <c r="E54" s="96"/>
      <c r="F54" s="96"/>
      <c r="G54" s="96"/>
      <c r="H54" s="96"/>
      <c r="I54" s="97"/>
      <c r="J54" s="96"/>
      <c r="K54" s="96"/>
      <c r="L54" s="98"/>
      <c r="M54" s="96"/>
      <c r="N54" s="96"/>
      <c r="O54" s="96"/>
      <c r="P54" s="96"/>
    </row>
    <row r="55" spans="1:23" x14ac:dyDescent="0.3">
      <c r="A55" s="97"/>
      <c r="B55" s="96"/>
      <c r="C55" s="96"/>
      <c r="D55" s="96"/>
      <c r="E55" s="96"/>
      <c r="F55" s="96"/>
      <c r="G55" s="96"/>
      <c r="H55" s="96"/>
      <c r="I55" s="97"/>
      <c r="J55" s="96"/>
      <c r="K55" s="96"/>
      <c r="L55" s="98"/>
      <c r="M55" s="96"/>
      <c r="N55" s="96"/>
      <c r="O55" s="96"/>
      <c r="P55" s="96"/>
    </row>
    <row r="56" spans="1:23" x14ac:dyDescent="0.3">
      <c r="A56" s="97"/>
      <c r="B56" s="96"/>
      <c r="C56" s="96"/>
      <c r="D56" s="96"/>
      <c r="E56" s="96"/>
      <c r="F56" s="96"/>
      <c r="G56" s="96"/>
      <c r="H56" s="96"/>
      <c r="I56" s="97"/>
      <c r="J56" s="96"/>
      <c r="K56" s="96"/>
      <c r="L56" s="98"/>
      <c r="M56" s="96"/>
      <c r="N56" s="96"/>
      <c r="O56" s="96"/>
      <c r="P56" s="96"/>
    </row>
    <row r="57" spans="1:23" x14ac:dyDescent="0.3">
      <c r="A57" s="97"/>
      <c r="B57" s="96"/>
      <c r="C57" s="96"/>
      <c r="D57" s="96"/>
      <c r="E57" s="96"/>
      <c r="F57" s="96"/>
      <c r="G57" s="96"/>
      <c r="H57" s="96"/>
      <c r="I57" s="97"/>
      <c r="J57" s="96"/>
      <c r="K57" s="96"/>
      <c r="L57" s="98"/>
      <c r="M57" s="96"/>
      <c r="N57" s="96"/>
      <c r="O57" s="96"/>
      <c r="P57" s="96"/>
    </row>
    <row r="58" spans="1:23" x14ac:dyDescent="0.3">
      <c r="A58" s="97"/>
      <c r="B58" s="96"/>
      <c r="C58" s="96"/>
      <c r="D58" s="96"/>
      <c r="E58" s="96"/>
      <c r="F58" s="96"/>
      <c r="G58" s="96"/>
      <c r="H58" s="96"/>
      <c r="I58" s="97"/>
      <c r="J58" s="96"/>
      <c r="K58" s="96"/>
      <c r="L58" s="98"/>
      <c r="M58" s="96"/>
      <c r="N58" s="96"/>
      <c r="O58" s="96"/>
      <c r="P58" s="96"/>
    </row>
    <row r="59" spans="1:23" x14ac:dyDescent="0.3">
      <c r="A59" s="97"/>
      <c r="B59" s="96"/>
      <c r="C59" s="96"/>
      <c r="D59" s="96"/>
      <c r="E59" s="96"/>
      <c r="F59" s="96"/>
      <c r="G59" s="96"/>
      <c r="H59" s="96"/>
      <c r="I59" s="97"/>
      <c r="J59" s="96"/>
      <c r="K59" s="96"/>
      <c r="L59" s="98"/>
      <c r="M59" s="96"/>
      <c r="N59" s="96"/>
      <c r="O59" s="96"/>
      <c r="P59" s="96"/>
    </row>
    <row r="60" spans="1:23" x14ac:dyDescent="0.3">
      <c r="A60" s="97"/>
      <c r="B60" s="96"/>
      <c r="C60" s="96"/>
      <c r="D60" s="96"/>
      <c r="E60" s="96"/>
      <c r="F60" s="96"/>
      <c r="G60" s="96"/>
      <c r="H60" s="96"/>
      <c r="I60" s="97"/>
      <c r="J60" s="96"/>
      <c r="K60" s="96"/>
      <c r="L60" s="98"/>
      <c r="M60" s="96"/>
      <c r="N60" s="96"/>
      <c r="O60" s="96"/>
      <c r="P60" s="96"/>
    </row>
    <row r="61" spans="1:23" x14ac:dyDescent="0.3">
      <c r="A61" s="97"/>
      <c r="I61" s="97"/>
      <c r="L61" s="97"/>
    </row>
    <row r="62" spans="1:23" x14ac:dyDescent="0.3">
      <c r="A62" s="97"/>
      <c r="I62" s="97"/>
      <c r="L62" s="97"/>
    </row>
    <row r="63" spans="1:23" x14ac:dyDescent="0.3">
      <c r="A63" s="97"/>
      <c r="I63" s="97"/>
      <c r="L63" s="97"/>
    </row>
    <row r="64" spans="1:23" x14ac:dyDescent="0.3">
      <c r="A64" s="97"/>
      <c r="I64" s="97"/>
      <c r="L64" s="97"/>
    </row>
    <row r="65" spans="1:12" x14ac:dyDescent="0.3">
      <c r="A65" s="97"/>
      <c r="I65" s="97"/>
      <c r="L65" s="97"/>
    </row>
    <row r="66" spans="1:12" x14ac:dyDescent="0.3">
      <c r="A66" s="97"/>
      <c r="I66" s="97"/>
      <c r="L66" s="97"/>
    </row>
    <row r="67" spans="1:12" x14ac:dyDescent="0.3">
      <c r="A67" s="97"/>
      <c r="I67" s="97"/>
      <c r="L67" s="97"/>
    </row>
    <row r="68" spans="1:12" x14ac:dyDescent="0.3">
      <c r="A68" s="97"/>
      <c r="I68" s="97"/>
      <c r="L68" s="97"/>
    </row>
    <row r="69" spans="1:12" x14ac:dyDescent="0.3">
      <c r="A69" s="97"/>
      <c r="B69" s="97"/>
      <c r="C69" s="97"/>
      <c r="D69" s="97"/>
      <c r="E69" s="97"/>
      <c r="F69" s="97"/>
      <c r="G69" s="97"/>
      <c r="H69" s="97"/>
      <c r="I69" s="97"/>
      <c r="J69" s="97"/>
      <c r="K69" s="97"/>
      <c r="L69" s="97"/>
    </row>
    <row r="70" spans="1:12" x14ac:dyDescent="0.3">
      <c r="A70" s="97"/>
      <c r="B70" s="97"/>
      <c r="C70" s="97"/>
      <c r="D70" s="97"/>
      <c r="E70" s="97"/>
      <c r="F70" s="97"/>
      <c r="G70" s="97"/>
      <c r="H70" s="97"/>
      <c r="I70" s="97"/>
      <c r="J70" s="97"/>
      <c r="K70" s="97"/>
      <c r="L70" s="97"/>
    </row>
  </sheetData>
  <mergeCells count="1">
    <mergeCell ref="B1:K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DASHBOARD</vt:lpstr>
      <vt:lpstr>HOW TO USE</vt:lpstr>
      <vt:lpstr>TRAINING SPECS</vt:lpstr>
      <vt:lpstr>PLAN</vt:lpstr>
      <vt:lpstr>DATA</vt:lpstr>
      <vt:lpstr>GOAL TRACKING</vt:lpstr>
      <vt:lpstr>VISUALS</vt:lpstr>
      <vt:lpstr>ActivityLog</vt:lpstr>
      <vt:lpstr>Milestones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brady</dc:creator>
  <cp:lastModifiedBy>cameron brady</cp:lastModifiedBy>
  <dcterms:created xsi:type="dcterms:W3CDTF">2015-06-05T18:17:20Z</dcterms:created>
  <dcterms:modified xsi:type="dcterms:W3CDTF">2025-12-05T19:37:26Z</dcterms:modified>
</cp:coreProperties>
</file>